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NO_EN_OPEX" sheetId="2" state="visible" r:id="rId2"/>
    <sheet xmlns:r="http://schemas.openxmlformats.org/officeDocument/2006/relationships" name="SIN_COSTO_EN_OPEX" sheetId="3" state="visible" r:id="rId3"/>
    <sheet xmlns:r="http://schemas.openxmlformats.org/officeDocument/2006/relationships" name="Por_Tipo_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color rgb="00375623"/>
    </font>
    <font>
      <name val="Arial"/>
      <b val="1"/>
      <sz val="12"/>
    </font>
    <font>
      <name val="Arial"/>
      <i val="1"/>
      <sz val="9"/>
    </font>
    <font>
      <name val="Arial"/>
      <color rgb="009C5700"/>
    </font>
    <font>
      <name val="Arial"/>
      <color rgb="009C0006"/>
    </font>
    <font>
      <name val="Arial"/>
      <b val="1"/>
      <color rgb="00000000"/>
    </font>
    <font>
      <name val="Arial"/>
      <sz val="9"/>
    </font>
    <font>
      <name val="Arial"/>
      <b val="1"/>
    </font>
    <font>
      <name val="Arial"/>
      <i val="1"/>
      <sz val="8"/>
    </font>
    <font>
      <name val="Arial"/>
      <b val="1"/>
      <color rgb="002E75B6"/>
    </font>
    <font>
      <b val="1"/>
      <color rgb="00FF0000"/>
    </font>
    <font>
      <name val="Arial"/>
      <b val="1"/>
      <color rgb="00FFFFFF"/>
      <sz val="12"/>
    </font>
    <font>
      <name val="Courier New"/>
      <sz val="9"/>
    </font>
    <font>
      <color rgb="00375623"/>
    </font>
    <font>
      <color rgb="009C0006"/>
    </font>
    <font>
      <color rgb="009C5700"/>
    </font>
    <font>
      <b val="1"/>
      <color rgb="009C5700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7F00"/>
      </patternFill>
    </fill>
    <fill>
      <patternFill patternType="solid">
        <fgColor rgb="009C57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7" fillId="4" borderId="1" pivotButton="0" quotePrefix="0" xfId="0"/>
    <xf numFmtId="0" fontId="8" fillId="5" borderId="1" pivotButton="0" quotePrefix="0" xfId="0"/>
    <xf numFmtId="0" fontId="6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7" fillId="5" borderId="1" pivotButton="0" quotePrefix="0" xfId="0"/>
    <xf numFmtId="0" fontId="9" fillId="6" borderId="1" pivotButton="0" quotePrefix="0" xfId="0"/>
    <xf numFmtId="0" fontId="6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7" fillId="6" borderId="1" pivotButton="0" quotePrefix="0" xfId="0"/>
    <xf numFmtId="0" fontId="10" fillId="7" borderId="1" pivotButton="0" quotePrefix="0" xfId="0"/>
    <xf numFmtId="0" fontId="6" fillId="7" borderId="1" applyAlignment="1" pivotButton="0" quotePrefix="0" xfId="0">
      <alignment horizontal="center"/>
    </xf>
    <xf numFmtId="9" fontId="0" fillId="7" borderId="1" applyAlignment="1" pivotButton="0" quotePrefix="0" xfId="0">
      <alignment horizontal="center"/>
    </xf>
    <xf numFmtId="0" fontId="7" fillId="7" borderId="1" pivotButton="0" quotePrefix="0" xfId="0"/>
    <xf numFmtId="0" fontId="11" fillId="7" borderId="1" pivotButton="0" quotePrefix="0" xfId="0"/>
    <xf numFmtId="0" fontId="1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3" fillId="0" borderId="1" applyAlignment="1" pivotButton="0" quotePrefix="0" xfId="0">
      <alignment wrapText="1"/>
    </xf>
    <xf numFmtId="0" fontId="11" fillId="8" borderId="1" pivotButton="0" quotePrefix="0" xfId="0"/>
    <xf numFmtId="0" fontId="14" fillId="0" borderId="0" pivotButton="0" quotePrefix="0" xfId="0"/>
    <xf numFmtId="0" fontId="11" fillId="0" borderId="0" applyAlignment="1" pivotButton="0" quotePrefix="0" xfId="0">
      <alignment wrapText="1"/>
    </xf>
    <xf numFmtId="0" fontId="0" fillId="7" borderId="1" pivotButton="0" quotePrefix="0" xfId="0"/>
    <xf numFmtId="0" fontId="0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0" fillId="8" borderId="1" pivotButton="0" quotePrefix="0" xfId="0"/>
    <xf numFmtId="0" fontId="16" fillId="2" borderId="0" applyAlignment="1" pivotButton="0" quotePrefix="0" xfId="0">
      <alignment horizontal="center" vertical="center" wrapText="1"/>
    </xf>
    <xf numFmtId="0" fontId="17" fillId="8" borderId="1" pivotButton="0" quotePrefix="0" xfId="0"/>
    <xf numFmtId="0" fontId="0" fillId="8" borderId="1" applyAlignment="1" pivotButton="0" quotePrefix="0" xfId="0">
      <alignment horizontal="center"/>
    </xf>
    <xf numFmtId="0" fontId="18" fillId="8" borderId="1" applyAlignment="1" pivotButton="0" quotePrefix="0" xfId="0">
      <alignment horizontal="center"/>
    </xf>
    <xf numFmtId="0" fontId="17" fillId="7" borderId="1" pivotButton="0" quotePrefix="0" xfId="0"/>
    <xf numFmtId="0" fontId="0" fillId="7" borderId="1" applyAlignment="1" pivotButton="0" quotePrefix="0" xfId="0">
      <alignment horizontal="center"/>
    </xf>
    <xf numFmtId="0" fontId="18" fillId="7" borderId="1" applyAlignment="1" pivotButton="0" quotePrefix="0" xfId="0">
      <alignment horizontal="center"/>
    </xf>
    <xf numFmtId="0" fontId="19" fillId="8" borderId="1" applyAlignment="1" pivotButton="0" quotePrefix="0" xfId="0">
      <alignment horizontal="center"/>
    </xf>
    <xf numFmtId="0" fontId="19" fillId="7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0" fillId="7" borderId="1" applyAlignment="1" pivotButton="0" quotePrefix="0" xfId="0">
      <alignment horizontal="center"/>
    </xf>
    <xf numFmtId="0" fontId="16" fillId="10" borderId="0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/>
    </xf>
    <xf numFmtId="0" fontId="21" fillId="7" borderId="1" applyAlignment="1" pivotButton="0" quotePrefix="0" xfId="0">
      <alignment horizontal="center"/>
    </xf>
    <xf numFmtId="0" fontId="22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22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28" customWidth="1" min="4" max="4"/>
  </cols>
  <sheetData>
    <row r="1" ht="32" customHeight="1">
      <c r="A1" s="1" t="inlineStr">
        <is>
          <t>📊 VALIDACIÓN OTs BIA vs OPEX — prod-bia-gold</t>
        </is>
      </c>
    </row>
    <row r="2" ht="14" customHeight="1">
      <c r="A2" s="2" t="inlineStr">
        <is>
          <t>Generado: 06/05/2026 | Fuente: operations.opex_costs_general</t>
        </is>
      </c>
    </row>
    <row r="4">
      <c r="A4" s="3" t="inlineStr">
        <is>
          <t>RESUMEN DE 2,000 OTs BIA EXITOSAS</t>
        </is>
      </c>
    </row>
    <row r="5" ht="22" customHeight="1">
      <c r="A5" s="4" t="inlineStr">
        <is>
          <t>Estado</t>
        </is>
      </c>
      <c r="B5" s="4" t="inlineStr">
        <is>
          <t>Cantidad</t>
        </is>
      </c>
      <c r="C5" s="4" t="inlineStr">
        <is>
          <t>% del Total</t>
        </is>
      </c>
      <c r="D5" s="4" t="inlineStr">
        <is>
          <t>Descripción</t>
        </is>
      </c>
    </row>
    <row r="6">
      <c r="A6" s="5" t="inlineStr">
        <is>
          <t>✅ CON COSTO en OPEX (OK)</t>
        </is>
      </c>
      <c r="B6" s="6" t="n">
        <v>1697</v>
      </c>
      <c r="C6" s="7">
        <f>1697/2000</f>
        <v/>
      </c>
      <c r="D6" s="8" t="inlineStr">
        <is>
          <t>Registradas en opex_costs_general con costo &gt; $0</t>
        </is>
      </c>
    </row>
    <row r="7">
      <c r="A7" s="9" t="inlineStr">
        <is>
          <t>⚠️ EN OPEX pero COSTO = $0</t>
        </is>
      </c>
      <c r="B7" s="10" t="n">
        <v>54</v>
      </c>
      <c r="C7" s="11">
        <f>54/2000</f>
        <v/>
      </c>
      <c r="D7" s="12" t="inlineStr">
        <is>
          <t>En tabla opex, is_bia=true, status=pending, sin liquidar</t>
        </is>
      </c>
    </row>
    <row r="8">
      <c r="A8" s="13" t="inlineStr">
        <is>
          <t>🚫 NO EXISTEN en OPEX</t>
        </is>
      </c>
      <c r="B8" s="14" t="n">
        <v>249</v>
      </c>
      <c r="C8" s="15">
        <f>249/2000</f>
        <v/>
      </c>
      <c r="D8" s="16" t="inlineStr">
        <is>
          <t>No hay registro en opex_costs_general</t>
        </is>
      </c>
    </row>
    <row r="9">
      <c r="A9" s="17" t="inlineStr">
        <is>
          <t>TOTAL</t>
        </is>
      </c>
      <c r="B9" s="18" t="n">
        <v>2000</v>
      </c>
      <c r="C9" s="19" t="inlineStr">
        <is>
          <t>100%</t>
        </is>
      </c>
      <c r="D9" s="20" t="inlineStr"/>
    </row>
    <row r="12">
      <c r="A12" s="3" t="inlineStr">
        <is>
          <t>CAUSAS RAÍZ — OTs NO EN OPEX (249)</t>
        </is>
      </c>
    </row>
    <row r="13">
      <c r="A13" s="4" t="inlineStr">
        <is>
          <t>Causa</t>
        </is>
      </c>
      <c r="B13" s="4" t="inlineStr">
        <is>
          <t>Cantidad</t>
        </is>
      </c>
      <c r="C13" s="4" t="inlineStr">
        <is>
          <t>%</t>
        </is>
      </c>
      <c r="D13" s="4" t="inlineStr">
        <is>
          <t>Detalle</t>
        </is>
      </c>
    </row>
    <row r="14" ht="28" customHeight="1">
      <c r="A14" s="21" t="inlineStr">
        <is>
          <t>Revisitas (_1/_2) sin registro en opex</t>
        </is>
      </c>
      <c r="B14" s="22" t="n">
        <v>150</v>
      </c>
      <c r="C14" s="23" t="n">
        <v>0.6024096385542169</v>
      </c>
      <c r="D14" s="24" t="inlineStr">
        <is>
          <t>Las revisitas tienen menor cobertura en opex. Solo 1,326 revisitas BIA están en opex vs 7,260 primeras visitas</t>
        </is>
      </c>
    </row>
    <row r="15" ht="28" customHeight="1">
      <c r="A15" s="25" t="inlineStr">
        <is>
          <t>Primeras visitas sin registro (período Oct-Dic 2025)</t>
        </is>
      </c>
      <c r="B15" s="22" t="n">
        <v>88</v>
      </c>
      <c r="C15" s="23" t="n">
        <v>0.3534136546184739</v>
      </c>
      <c r="D15" s="24" t="inlineStr">
        <is>
          <t>Visitas recientes aún no procesadas por el pipeline de registro de costos</t>
        </is>
      </c>
    </row>
    <row r="16" ht="28" customHeight="1">
      <c r="A16" s="21" t="inlineStr">
        <is>
          <t>código_bia no estándar (no CO0xxx)</t>
        </is>
      </c>
      <c r="B16" s="22" t="n">
        <v>11</v>
      </c>
      <c r="C16" s="23" t="n">
        <v>0.04417670682730924</v>
      </c>
      <c r="D16" s="24" t="inlineStr">
        <is>
          <t>CO1xxx, CO57xxx, CO2530xxx — fuera de scope metodológico CAC</t>
        </is>
      </c>
    </row>
    <row r="20">
      <c r="A20" s="3" t="inlineStr">
        <is>
          <t>CAUSAS — OTs EN OPEX CON COSTO $0 (54)</t>
        </is>
      </c>
    </row>
    <row r="21">
      <c r="A21" s="26" t="inlineStr">
        <is>
          <t>🔍 Diagnóstico</t>
        </is>
      </c>
    </row>
    <row r="22" ht="55" customHeight="1">
      <c r="A22" s="27" t="inlineStr">
        <is>
          <t>Todas las 54 OTs tienen status="pending" en opex_costs_general, con is_bia=true. El registro existe pero el proceso de liquidación/facturación al contratista BIA aún no ha sido ejecutado. No hay ningún registro de costos en ninguno de los rubros (service_cost, material_cost, transport_cost, other_cost, costo_bia = $0).</t>
        </is>
      </c>
    </row>
    <row r="25">
      <c r="A25" s="3" t="inlineStr">
        <is>
          <t>VALIDACIÓN GLOBAL: TODAS LAS OTs BIA (EXITOSO + FALLIDO) vs OPEX</t>
        </is>
      </c>
    </row>
    <row r="26">
      <c r="A26" s="4" t="n"/>
      <c r="B26" s="4" t="n"/>
      <c r="C26" s="4" t="n"/>
      <c r="D26" s="4" t="n"/>
    </row>
    <row r="27">
      <c r="A27" s="28" t="inlineStr">
        <is>
          <t>Cierre Exitoso</t>
        </is>
      </c>
      <c r="B27" s="29" t="n">
        <v>15948</v>
      </c>
      <c r="C27" s="29" t="n">
        <v>6488</v>
      </c>
      <c r="D27" s="30" t="n">
        <v>892</v>
      </c>
    </row>
    <row r="28">
      <c r="A28" s="31" t="inlineStr">
        <is>
          <t>Cierre Fallido</t>
        </is>
      </c>
      <c r="B28" s="29" t="n">
        <v>3210</v>
      </c>
      <c r="C28" s="29" t="n">
        <v>1141</v>
      </c>
      <c r="D28" s="30" t="n">
        <v>143</v>
      </c>
    </row>
  </sheetData>
  <mergeCells count="8">
    <mergeCell ref="A1:D1"/>
    <mergeCell ref="A22:D22"/>
    <mergeCell ref="A12:D12"/>
    <mergeCell ref="A4:D4"/>
    <mergeCell ref="A20:D20"/>
    <mergeCell ref="A21:D21"/>
    <mergeCell ref="A25:D2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5" customWidth="1" min="4" max="4"/>
    <col width="22" customWidth="1" min="5" max="5"/>
  </cols>
  <sheetData>
    <row r="1" ht="24" customHeight="1">
      <c r="A1" s="32" t="inlineStr">
        <is>
          <t>OTs BIA Exitosas — NO EXISTEN en opex_costs_general (249 OTs)</t>
        </is>
      </c>
    </row>
    <row r="2">
      <c r="A2" s="4" t="n"/>
      <c r="B2" s="4" t="n"/>
      <c r="C2" s="4" t="n"/>
      <c r="D2" s="4" t="n"/>
      <c r="E2" s="4" t="n"/>
    </row>
    <row r="3">
      <c r="A3" s="33" t="inlineStr">
        <is>
          <t>ALCO_CO0100001536_1250468844</t>
        </is>
      </c>
      <c r="B3" s="34" t="inlineStr">
        <is>
          <t>ALCO</t>
        </is>
      </c>
      <c r="C3" s="31" t="inlineStr">
        <is>
          <t>CO0100001536</t>
        </is>
      </c>
      <c r="D3" s="35" t="inlineStr">
        <is>
          <t>No</t>
        </is>
      </c>
      <c r="E3" s="35" t="inlineStr">
        <is>
          <t>Estándar CO0xxx</t>
        </is>
      </c>
    </row>
    <row r="4">
      <c r="A4" s="36" t="inlineStr">
        <is>
          <t>ALCO_CO0100001568_1251119720</t>
        </is>
      </c>
      <c r="B4" s="37" t="inlineStr">
        <is>
          <t>ALCO</t>
        </is>
      </c>
      <c r="C4" s="28" t="inlineStr">
        <is>
          <t>CO0100001568</t>
        </is>
      </c>
      <c r="D4" s="38" t="inlineStr">
        <is>
          <t>No</t>
        </is>
      </c>
      <c r="E4" s="38" t="inlineStr">
        <is>
          <t>Estándar CO0xxx</t>
        </is>
      </c>
    </row>
    <row r="5">
      <c r="A5" s="33" t="inlineStr">
        <is>
          <t>ALCO_CO0100001568_1258256735</t>
        </is>
      </c>
      <c r="B5" s="34" t="inlineStr">
        <is>
          <t>ALCO</t>
        </is>
      </c>
      <c r="C5" s="31" t="inlineStr">
        <is>
          <t>CO0100001568</t>
        </is>
      </c>
      <c r="D5" s="35" t="inlineStr">
        <is>
          <t>No</t>
        </is>
      </c>
      <c r="E5" s="35" t="inlineStr">
        <is>
          <t>Estándar CO0xxx</t>
        </is>
      </c>
    </row>
    <row r="6">
      <c r="A6" s="36" t="inlineStr">
        <is>
          <t>ALCO_CO0100001681_1250943471</t>
        </is>
      </c>
      <c r="B6" s="37" t="inlineStr">
        <is>
          <t>ALCO</t>
        </is>
      </c>
      <c r="C6" s="28" t="inlineStr">
        <is>
          <t>CO0100001681</t>
        </is>
      </c>
      <c r="D6" s="38" t="inlineStr">
        <is>
          <t>No</t>
        </is>
      </c>
      <c r="E6" s="38" t="inlineStr">
        <is>
          <t>Estándar CO0xxx</t>
        </is>
      </c>
    </row>
    <row r="7">
      <c r="A7" s="33" t="inlineStr">
        <is>
          <t>ALCO_CO0100001683_1250945548</t>
        </is>
      </c>
      <c r="B7" s="34" t="inlineStr">
        <is>
          <t>ALCO</t>
        </is>
      </c>
      <c r="C7" s="31" t="inlineStr">
        <is>
          <t>CO0100001683</t>
        </is>
      </c>
      <c r="D7" s="35" t="inlineStr">
        <is>
          <t>No</t>
        </is>
      </c>
      <c r="E7" s="35" t="inlineStr">
        <is>
          <t>Estándar CO0xxx</t>
        </is>
      </c>
    </row>
    <row r="8">
      <c r="A8" s="36" t="inlineStr">
        <is>
          <t>ALCO_CO0100001691_1254108299</t>
        </is>
      </c>
      <c r="B8" s="37" t="inlineStr">
        <is>
          <t>ALCO</t>
        </is>
      </c>
      <c r="C8" s="28" t="inlineStr">
        <is>
          <t>CO0100001691</t>
        </is>
      </c>
      <c r="D8" s="38" t="inlineStr">
        <is>
          <t>No</t>
        </is>
      </c>
      <c r="E8" s="38" t="inlineStr">
        <is>
          <t>Estándar CO0xxx</t>
        </is>
      </c>
    </row>
    <row r="9">
      <c r="A9" s="33" t="inlineStr">
        <is>
          <t>ALCO_CO0100001691_1257937072</t>
        </is>
      </c>
      <c r="B9" s="34" t="inlineStr">
        <is>
          <t>ALCO</t>
        </is>
      </c>
      <c r="C9" s="31" t="inlineStr">
        <is>
          <t>CO0100001691</t>
        </is>
      </c>
      <c r="D9" s="35" t="inlineStr">
        <is>
          <t>No</t>
        </is>
      </c>
      <c r="E9" s="35" t="inlineStr">
        <is>
          <t>Estándar CO0xxx</t>
        </is>
      </c>
    </row>
    <row r="10">
      <c r="A10" s="36" t="inlineStr">
        <is>
          <t>ALCO_CO0100001694_1250940371</t>
        </is>
      </c>
      <c r="B10" s="37" t="inlineStr">
        <is>
          <t>ALCO</t>
        </is>
      </c>
      <c r="C10" s="28" t="inlineStr">
        <is>
          <t>CO0100001694</t>
        </is>
      </c>
      <c r="D10" s="38" t="inlineStr">
        <is>
          <t>No</t>
        </is>
      </c>
      <c r="E10" s="38" t="inlineStr">
        <is>
          <t>Estándar CO0xxx</t>
        </is>
      </c>
    </row>
    <row r="11">
      <c r="A11" s="33" t="inlineStr">
        <is>
          <t>ALCO_CO0100002183_1251328247</t>
        </is>
      </c>
      <c r="B11" s="34" t="inlineStr">
        <is>
          <t>ALCO</t>
        </is>
      </c>
      <c r="C11" s="31" t="inlineStr">
        <is>
          <t>CO0100002183</t>
        </is>
      </c>
      <c r="D11" s="35" t="inlineStr">
        <is>
          <t>No</t>
        </is>
      </c>
      <c r="E11" s="35" t="inlineStr">
        <is>
          <t>Estándar CO0xxx</t>
        </is>
      </c>
    </row>
    <row r="12">
      <c r="A12" s="36" t="inlineStr">
        <is>
          <t>ALCO_CO0100002516_1250952564</t>
        </is>
      </c>
      <c r="B12" s="37" t="inlineStr">
        <is>
          <t>ALCO</t>
        </is>
      </c>
      <c r="C12" s="28" t="inlineStr">
        <is>
          <t>CO0100002516</t>
        </is>
      </c>
      <c r="D12" s="38" t="inlineStr">
        <is>
          <t>No</t>
        </is>
      </c>
      <c r="E12" s="38" t="inlineStr">
        <is>
          <t>Estándar CO0xxx</t>
        </is>
      </c>
    </row>
    <row r="13">
      <c r="A13" s="33" t="inlineStr">
        <is>
          <t>ALCO_CO1140000226_1250455875</t>
        </is>
      </c>
      <c r="B13" s="34" t="inlineStr">
        <is>
          <t>ALCO</t>
        </is>
      </c>
      <c r="C13" s="31" t="inlineStr">
        <is>
          <t>CO1140000226</t>
        </is>
      </c>
      <c r="D13" s="35" t="inlineStr">
        <is>
          <t>No</t>
        </is>
      </c>
      <c r="E13" s="39" t="inlineStr">
        <is>
          <t>⚠️ No estándar</t>
        </is>
      </c>
    </row>
    <row r="14">
      <c r="A14" s="36" t="inlineStr">
        <is>
          <t>ALCO_CO1140000229_1251730943</t>
        </is>
      </c>
      <c r="B14" s="37" t="inlineStr">
        <is>
          <t>ALCO</t>
        </is>
      </c>
      <c r="C14" s="28" t="inlineStr">
        <is>
          <t>CO1140000229</t>
        </is>
      </c>
      <c r="D14" s="38" t="inlineStr">
        <is>
          <t>No</t>
        </is>
      </c>
      <c r="E14" s="40" t="inlineStr">
        <is>
          <t>⚠️ No estándar</t>
        </is>
      </c>
    </row>
    <row r="15">
      <c r="A15" s="33" t="inlineStr">
        <is>
          <t>ALCO_CO1180000209_1251269843</t>
        </is>
      </c>
      <c r="B15" s="34" t="inlineStr">
        <is>
          <t>ALCO</t>
        </is>
      </c>
      <c r="C15" s="31" t="inlineStr">
        <is>
          <t>CO1180000209</t>
        </is>
      </c>
      <c r="D15" s="35" t="inlineStr">
        <is>
          <t>No</t>
        </is>
      </c>
      <c r="E15" s="39" t="inlineStr">
        <is>
          <t>⚠️ No estándar</t>
        </is>
      </c>
    </row>
    <row r="16">
      <c r="A16" s="36" t="inlineStr">
        <is>
          <t>ALCO_CO57114030_1250359815</t>
        </is>
      </c>
      <c r="B16" s="37" t="inlineStr">
        <is>
          <t>ALCO</t>
        </is>
      </c>
      <c r="C16" s="28" t="inlineStr">
        <is>
          <t>CO57114030</t>
        </is>
      </c>
      <c r="D16" s="38" t="inlineStr">
        <is>
          <t>No</t>
        </is>
      </c>
      <c r="E16" s="40" t="inlineStr">
        <is>
          <t>⚠️ No estándar</t>
        </is>
      </c>
    </row>
    <row r="17">
      <c r="A17" s="33" t="inlineStr">
        <is>
          <t>ALRT_CO0100001620_1268994998_1</t>
        </is>
      </c>
      <c r="B17" s="34" t="inlineStr">
        <is>
          <t>ALRT</t>
        </is>
      </c>
      <c r="C17" s="31" t="inlineStr">
        <is>
          <t>CO0100001620</t>
        </is>
      </c>
      <c r="D17" s="41" t="inlineStr">
        <is>
          <t>Sí (_1/_2)</t>
        </is>
      </c>
      <c r="E17" s="35" t="inlineStr">
        <is>
          <t>Estándar CO0xxx</t>
        </is>
      </c>
    </row>
    <row r="18">
      <c r="A18" s="36" t="inlineStr">
        <is>
          <t>ALRT_CO0100001790_1269032154_1</t>
        </is>
      </c>
      <c r="B18" s="37" t="inlineStr">
        <is>
          <t>ALRT</t>
        </is>
      </c>
      <c r="C18" s="28" t="inlineStr">
        <is>
          <t>CO0100001790</t>
        </is>
      </c>
      <c r="D18" s="42" t="inlineStr">
        <is>
          <t>Sí (_1/_2)</t>
        </is>
      </c>
      <c r="E18" s="38" t="inlineStr">
        <is>
          <t>Estándar CO0xxx</t>
        </is>
      </c>
    </row>
    <row r="19">
      <c r="A19" s="33" t="inlineStr">
        <is>
          <t>ALRT_CO0100005443_1260589271_1</t>
        </is>
      </c>
      <c r="B19" s="34" t="inlineStr">
        <is>
          <t>ALRT</t>
        </is>
      </c>
      <c r="C19" s="31" t="inlineStr">
        <is>
          <t>CO0100005443</t>
        </is>
      </c>
      <c r="D19" s="41" t="inlineStr">
        <is>
          <t>Sí (_1/_2)</t>
        </is>
      </c>
      <c r="E19" s="35" t="inlineStr">
        <is>
          <t>Estándar CO0xxx</t>
        </is>
      </c>
    </row>
    <row r="20">
      <c r="A20" s="36" t="inlineStr">
        <is>
          <t>ALRT_CO0100006564_1330435476_1</t>
        </is>
      </c>
      <c r="B20" s="37" t="inlineStr">
        <is>
          <t>ALRT</t>
        </is>
      </c>
      <c r="C20" s="28" t="inlineStr">
        <is>
          <t>CO0100006564</t>
        </is>
      </c>
      <c r="D20" s="42" t="inlineStr">
        <is>
          <t>Sí (_1/_2)</t>
        </is>
      </c>
      <c r="E20" s="38" t="inlineStr">
        <is>
          <t>Estándar CO0xxx</t>
        </is>
      </c>
    </row>
    <row r="21">
      <c r="A21" s="33" t="inlineStr">
        <is>
          <t>ALRT_CO0500003562_1264529574_1</t>
        </is>
      </c>
      <c r="B21" s="34" t="inlineStr">
        <is>
          <t>ALRT</t>
        </is>
      </c>
      <c r="C21" s="31" t="inlineStr">
        <is>
          <t>CO0500003562</t>
        </is>
      </c>
      <c r="D21" s="41" t="inlineStr">
        <is>
          <t>Sí (_1/_2)</t>
        </is>
      </c>
      <c r="E21" s="35" t="inlineStr">
        <is>
          <t>Estándar CO0xxx</t>
        </is>
      </c>
    </row>
    <row r="22">
      <c r="A22" s="36" t="inlineStr">
        <is>
          <t>COND_CO0100003957_1261781878_1</t>
        </is>
      </c>
      <c r="B22" s="37" t="inlineStr">
        <is>
          <t>COND</t>
        </is>
      </c>
      <c r="C22" s="28" t="inlineStr">
        <is>
          <t>CO0100003957</t>
        </is>
      </c>
      <c r="D22" s="42" t="inlineStr">
        <is>
          <t>Sí (_1/_2)</t>
        </is>
      </c>
      <c r="E22" s="38" t="inlineStr">
        <is>
          <t>Estándar CO0xxx</t>
        </is>
      </c>
    </row>
    <row r="23">
      <c r="A23" s="33" t="inlineStr">
        <is>
          <t>DESX_CO0100000996_1283234223_1</t>
        </is>
      </c>
      <c r="B23" s="34" t="inlineStr">
        <is>
          <t>DESX</t>
        </is>
      </c>
      <c r="C23" s="31" t="inlineStr">
        <is>
          <t>CO0100000996</t>
        </is>
      </c>
      <c r="D23" s="41" t="inlineStr">
        <is>
          <t>Sí (_1/_2)</t>
        </is>
      </c>
      <c r="E23" s="35" t="inlineStr">
        <is>
          <t>Estándar CO0xxx</t>
        </is>
      </c>
    </row>
    <row r="24">
      <c r="A24" s="36" t="inlineStr">
        <is>
          <t>DESX_CO0100002303_1269367621_1</t>
        </is>
      </c>
      <c r="B24" s="37" t="inlineStr">
        <is>
          <t>DESX</t>
        </is>
      </c>
      <c r="C24" s="28" t="inlineStr">
        <is>
          <t>CO0100002303</t>
        </is>
      </c>
      <c r="D24" s="42" t="inlineStr">
        <is>
          <t>Sí (_1/_2)</t>
        </is>
      </c>
      <c r="E24" s="38" t="inlineStr">
        <is>
          <t>Estándar CO0xxx</t>
        </is>
      </c>
    </row>
    <row r="25">
      <c r="A25" s="33" t="inlineStr">
        <is>
          <t>DESX_CO0100002500_1263576853_1</t>
        </is>
      </c>
      <c r="B25" s="34" t="inlineStr">
        <is>
          <t>DESX</t>
        </is>
      </c>
      <c r="C25" s="31" t="inlineStr">
        <is>
          <t>CO0100002500</t>
        </is>
      </c>
      <c r="D25" s="41" t="inlineStr">
        <is>
          <t>Sí (_1/_2)</t>
        </is>
      </c>
      <c r="E25" s="35" t="inlineStr">
        <is>
          <t>Estándar CO0xxx</t>
        </is>
      </c>
    </row>
    <row r="26">
      <c r="A26" s="36" t="inlineStr">
        <is>
          <t>DESX_CO0100002714_1322495717_1</t>
        </is>
      </c>
      <c r="B26" s="37" t="inlineStr">
        <is>
          <t>DESX</t>
        </is>
      </c>
      <c r="C26" s="28" t="inlineStr">
        <is>
          <t>CO0100002714</t>
        </is>
      </c>
      <c r="D26" s="42" t="inlineStr">
        <is>
          <t>Sí (_1/_2)</t>
        </is>
      </c>
      <c r="E26" s="38" t="inlineStr">
        <is>
          <t>Estándar CO0xxx</t>
        </is>
      </c>
    </row>
    <row r="27">
      <c r="A27" s="33" t="inlineStr">
        <is>
          <t>DESX_CO0100003624_1255783656</t>
        </is>
      </c>
      <c r="B27" s="34" t="inlineStr">
        <is>
          <t>DESX</t>
        </is>
      </c>
      <c r="C27" s="31" t="inlineStr">
        <is>
          <t>CO0100003624</t>
        </is>
      </c>
      <c r="D27" s="35" t="inlineStr">
        <is>
          <t>No</t>
        </is>
      </c>
      <c r="E27" s="35" t="inlineStr">
        <is>
          <t>Estándar CO0xxx</t>
        </is>
      </c>
    </row>
    <row r="28">
      <c r="A28" s="36" t="inlineStr">
        <is>
          <t>DESX_CO0100003626_1269368256_1</t>
        </is>
      </c>
      <c r="B28" s="37" t="inlineStr">
        <is>
          <t>DESX</t>
        </is>
      </c>
      <c r="C28" s="28" t="inlineStr">
        <is>
          <t>CO0100003626</t>
        </is>
      </c>
      <c r="D28" s="42" t="inlineStr">
        <is>
          <t>Sí (_1/_2)</t>
        </is>
      </c>
      <c r="E28" s="38" t="inlineStr">
        <is>
          <t>Estándar CO0xxx</t>
        </is>
      </c>
    </row>
    <row r="29">
      <c r="A29" s="33" t="inlineStr">
        <is>
          <t>DESX_CO0500000943_1257188653</t>
        </is>
      </c>
      <c r="B29" s="34" t="inlineStr">
        <is>
          <t>DESX</t>
        </is>
      </c>
      <c r="C29" s="31" t="inlineStr">
        <is>
          <t>CO0500000943</t>
        </is>
      </c>
      <c r="D29" s="35" t="inlineStr">
        <is>
          <t>No</t>
        </is>
      </c>
      <c r="E29" s="35" t="inlineStr">
        <is>
          <t>Estándar CO0xxx</t>
        </is>
      </c>
    </row>
    <row r="30">
      <c r="A30" s="36" t="inlineStr">
        <is>
          <t>DESX_CO0500002740_1255783047</t>
        </is>
      </c>
      <c r="B30" s="37" t="inlineStr">
        <is>
          <t>DESX</t>
        </is>
      </c>
      <c r="C30" s="28" t="inlineStr">
        <is>
          <t>CO0500002740</t>
        </is>
      </c>
      <c r="D30" s="38" t="inlineStr">
        <is>
          <t>No</t>
        </is>
      </c>
      <c r="E30" s="38" t="inlineStr">
        <is>
          <t>Estándar CO0xxx</t>
        </is>
      </c>
    </row>
    <row r="31">
      <c r="A31" s="33" t="inlineStr">
        <is>
          <t>DESX_CO0500003198_1269692377_1</t>
        </is>
      </c>
      <c r="B31" s="34" t="inlineStr">
        <is>
          <t>DESX</t>
        </is>
      </c>
      <c r="C31" s="31" t="inlineStr">
        <is>
          <t>CO0500003198</t>
        </is>
      </c>
      <c r="D31" s="41" t="inlineStr">
        <is>
          <t>Sí (_1/_2)</t>
        </is>
      </c>
      <c r="E31" s="35" t="inlineStr">
        <is>
          <t>Estándar CO0xxx</t>
        </is>
      </c>
    </row>
    <row r="32">
      <c r="A32" s="36" t="inlineStr">
        <is>
          <t>DESX_CO0500003555_1256683448</t>
        </is>
      </c>
      <c r="B32" s="37" t="inlineStr">
        <is>
          <t>DESX</t>
        </is>
      </c>
      <c r="C32" s="28" t="inlineStr">
        <is>
          <t>CO0500003555</t>
        </is>
      </c>
      <c r="D32" s="38" t="inlineStr">
        <is>
          <t>No</t>
        </is>
      </c>
      <c r="E32" s="38" t="inlineStr">
        <is>
          <t>Estándar CO0xxx</t>
        </is>
      </c>
    </row>
    <row r="33">
      <c r="A33" s="33" t="inlineStr">
        <is>
          <t>DESX_CO0500003560_1260588577_1</t>
        </is>
      </c>
      <c r="B33" s="34" t="inlineStr">
        <is>
          <t>DESX</t>
        </is>
      </c>
      <c r="C33" s="31" t="inlineStr">
        <is>
          <t>CO0500003560</t>
        </is>
      </c>
      <c r="D33" s="41" t="inlineStr">
        <is>
          <t>Sí (_1/_2)</t>
        </is>
      </c>
      <c r="E33" s="35" t="inlineStr">
        <is>
          <t>Estándar CO0xxx</t>
        </is>
      </c>
    </row>
    <row r="34">
      <c r="A34" s="36" t="inlineStr">
        <is>
          <t>DESX_CO0500003742_1269368299_1</t>
        </is>
      </c>
      <c r="B34" s="37" t="inlineStr">
        <is>
          <t>DESX</t>
        </is>
      </c>
      <c r="C34" s="28" t="inlineStr">
        <is>
          <t>CO0500003742</t>
        </is>
      </c>
      <c r="D34" s="42" t="inlineStr">
        <is>
          <t>Sí (_1/_2)</t>
        </is>
      </c>
      <c r="E34" s="38" t="inlineStr">
        <is>
          <t>Estándar CO0xxx</t>
        </is>
      </c>
    </row>
    <row r="35">
      <c r="A35" s="33" t="inlineStr">
        <is>
          <t>DESX_CO57117074_1255779131</t>
        </is>
      </c>
      <c r="B35" s="34" t="inlineStr">
        <is>
          <t>DESX</t>
        </is>
      </c>
      <c r="C35" s="31" t="inlineStr">
        <is>
          <t>CO57117074</t>
        </is>
      </c>
      <c r="D35" s="35" t="inlineStr">
        <is>
          <t>No</t>
        </is>
      </c>
      <c r="E35" s="39" t="inlineStr">
        <is>
          <t>⚠️ No estándar</t>
        </is>
      </c>
    </row>
    <row r="36">
      <c r="A36" s="36" t="inlineStr">
        <is>
          <t>INFR_CO0100002102_1246253731</t>
        </is>
      </c>
      <c r="B36" s="37" t="inlineStr">
        <is>
          <t>INFR</t>
        </is>
      </c>
      <c r="C36" s="28" t="inlineStr">
        <is>
          <t>CO0100002102</t>
        </is>
      </c>
      <c r="D36" s="38" t="inlineStr">
        <is>
          <t>No</t>
        </is>
      </c>
      <c r="E36" s="38" t="inlineStr">
        <is>
          <t>Estándar CO0xxx</t>
        </is>
      </c>
    </row>
    <row r="37">
      <c r="A37" s="33" t="inlineStr">
        <is>
          <t>INFR_CO0100004127_1253591694</t>
        </is>
      </c>
      <c r="B37" s="34" t="inlineStr">
        <is>
          <t>INFR</t>
        </is>
      </c>
      <c r="C37" s="31" t="inlineStr">
        <is>
          <t>CO0100004127</t>
        </is>
      </c>
      <c r="D37" s="35" t="inlineStr">
        <is>
          <t>No</t>
        </is>
      </c>
      <c r="E37" s="35" t="inlineStr">
        <is>
          <t>Estándar CO0xxx</t>
        </is>
      </c>
    </row>
    <row r="38">
      <c r="A38" s="36" t="inlineStr">
        <is>
          <t>INFR_CO0100004127_1256408785</t>
        </is>
      </c>
      <c r="B38" s="37" t="inlineStr">
        <is>
          <t>INFR</t>
        </is>
      </c>
      <c r="C38" s="28" t="inlineStr">
        <is>
          <t>CO0100004127</t>
        </is>
      </c>
      <c r="D38" s="38" t="inlineStr">
        <is>
          <t>No</t>
        </is>
      </c>
      <c r="E38" s="38" t="inlineStr">
        <is>
          <t>Estándar CO0xxx</t>
        </is>
      </c>
    </row>
    <row r="39">
      <c r="A39" s="33" t="inlineStr">
        <is>
          <t>INFR_CO0100004139_1265866959_1</t>
        </is>
      </c>
      <c r="B39" s="34" t="inlineStr">
        <is>
          <t>INFR</t>
        </is>
      </c>
      <c r="C39" s="31" t="inlineStr">
        <is>
          <t>CO0100004139</t>
        </is>
      </c>
      <c r="D39" s="41" t="inlineStr">
        <is>
          <t>Sí (_1/_2)</t>
        </is>
      </c>
      <c r="E39" s="35" t="inlineStr">
        <is>
          <t>Estándar CO0xxx</t>
        </is>
      </c>
    </row>
    <row r="40">
      <c r="A40" s="36" t="inlineStr">
        <is>
          <t>INFR_CO0400003085_1254024041</t>
        </is>
      </c>
      <c r="B40" s="37" t="inlineStr">
        <is>
          <t>INFR</t>
        </is>
      </c>
      <c r="C40" s="28" t="inlineStr">
        <is>
          <t>CO0400003085</t>
        </is>
      </c>
      <c r="D40" s="38" t="inlineStr">
        <is>
          <t>No</t>
        </is>
      </c>
      <c r="E40" s="38" t="inlineStr">
        <is>
          <t>Estándar CO0xxx</t>
        </is>
      </c>
    </row>
    <row r="41">
      <c r="A41" s="33" t="inlineStr">
        <is>
          <t>INFR_CO0400003131_1254030941</t>
        </is>
      </c>
      <c r="B41" s="34" t="inlineStr">
        <is>
          <t>INFR</t>
        </is>
      </c>
      <c r="C41" s="31" t="inlineStr">
        <is>
          <t>CO0400003131</t>
        </is>
      </c>
      <c r="D41" s="35" t="inlineStr">
        <is>
          <t>No</t>
        </is>
      </c>
      <c r="E41" s="35" t="inlineStr">
        <is>
          <t>Estándar CO0xxx</t>
        </is>
      </c>
    </row>
    <row r="42">
      <c r="A42" s="36" t="inlineStr">
        <is>
          <t>INST_CO0100006132_1231626591_1</t>
        </is>
      </c>
      <c r="B42" s="37" t="inlineStr">
        <is>
          <t>INST</t>
        </is>
      </c>
      <c r="C42" s="28" t="inlineStr">
        <is>
          <t>CO0100006132</t>
        </is>
      </c>
      <c r="D42" s="42" t="inlineStr">
        <is>
          <t>Sí (_1/_2)</t>
        </is>
      </c>
      <c r="E42" s="38" t="inlineStr">
        <is>
          <t>Estándar CO0xxx</t>
        </is>
      </c>
    </row>
    <row r="43">
      <c r="A43" s="33" t="inlineStr">
        <is>
          <t>INST_CO0100006283_1247088721</t>
        </is>
      </c>
      <c r="B43" s="34" t="inlineStr">
        <is>
          <t>INST</t>
        </is>
      </c>
      <c r="C43" s="31" t="inlineStr">
        <is>
          <t>CO0100006283</t>
        </is>
      </c>
      <c r="D43" s="35" t="inlineStr">
        <is>
          <t>No</t>
        </is>
      </c>
      <c r="E43" s="35" t="inlineStr">
        <is>
          <t>Estándar CO0xxx</t>
        </is>
      </c>
    </row>
    <row r="44">
      <c r="A44" s="36" t="inlineStr">
        <is>
          <t>INST_CO0100006330_1248358991_1</t>
        </is>
      </c>
      <c r="B44" s="37" t="inlineStr">
        <is>
          <t>INST</t>
        </is>
      </c>
      <c r="C44" s="28" t="inlineStr">
        <is>
          <t>CO0100006330</t>
        </is>
      </c>
      <c r="D44" s="42" t="inlineStr">
        <is>
          <t>Sí (_1/_2)</t>
        </is>
      </c>
      <c r="E44" s="38" t="inlineStr">
        <is>
          <t>Estándar CO0xxx</t>
        </is>
      </c>
    </row>
    <row r="45">
      <c r="A45" s="33" t="inlineStr">
        <is>
          <t>INST_CO0500005469_1253885159</t>
        </is>
      </c>
      <c r="B45" s="34" t="inlineStr">
        <is>
          <t>INST</t>
        </is>
      </c>
      <c r="C45" s="31" t="inlineStr">
        <is>
          <t>CO0500005469</t>
        </is>
      </c>
      <c r="D45" s="35" t="inlineStr">
        <is>
          <t>No</t>
        </is>
      </c>
      <c r="E45" s="35" t="inlineStr">
        <is>
          <t>Estándar CO0xxx</t>
        </is>
      </c>
    </row>
    <row r="46">
      <c r="A46" s="36" t="inlineStr">
        <is>
          <t>INST_CO0500005474_1253882822</t>
        </is>
      </c>
      <c r="B46" s="37" t="inlineStr">
        <is>
          <t>INST</t>
        </is>
      </c>
      <c r="C46" s="28" t="inlineStr">
        <is>
          <t>CO0500005474</t>
        </is>
      </c>
      <c r="D46" s="38" t="inlineStr">
        <is>
          <t>No</t>
        </is>
      </c>
      <c r="E46" s="38" t="inlineStr">
        <is>
          <t>Estándar CO0xxx</t>
        </is>
      </c>
    </row>
    <row r="47">
      <c r="A47" s="33" t="inlineStr">
        <is>
          <t>INST_CO0500006213_1253443735</t>
        </is>
      </c>
      <c r="B47" s="34" t="inlineStr">
        <is>
          <t>INST</t>
        </is>
      </c>
      <c r="C47" s="31" t="inlineStr">
        <is>
          <t>CO0500006213</t>
        </is>
      </c>
      <c r="D47" s="35" t="inlineStr">
        <is>
          <t>No</t>
        </is>
      </c>
      <c r="E47" s="35" t="inlineStr">
        <is>
          <t>Estándar CO0xxx</t>
        </is>
      </c>
    </row>
    <row r="48">
      <c r="A48" s="36" t="inlineStr">
        <is>
          <t>INST_CO0500006234_1253848146</t>
        </is>
      </c>
      <c r="B48" s="37" t="inlineStr">
        <is>
          <t>INST</t>
        </is>
      </c>
      <c r="C48" s="28" t="inlineStr">
        <is>
          <t>CO0500006234</t>
        </is>
      </c>
      <c r="D48" s="38" t="inlineStr">
        <is>
          <t>No</t>
        </is>
      </c>
      <c r="E48" s="38" t="inlineStr">
        <is>
          <t>Estándar CO0xxx</t>
        </is>
      </c>
    </row>
    <row r="49">
      <c r="A49" s="33" t="inlineStr">
        <is>
          <t>INST_CO0500006265_1249557431</t>
        </is>
      </c>
      <c r="B49" s="34" t="inlineStr">
        <is>
          <t>INST</t>
        </is>
      </c>
      <c r="C49" s="31" t="inlineStr">
        <is>
          <t>CO0500006265</t>
        </is>
      </c>
      <c r="D49" s="35" t="inlineStr">
        <is>
          <t>No</t>
        </is>
      </c>
      <c r="E49" s="35" t="inlineStr">
        <is>
          <t>Estándar CO0xxx</t>
        </is>
      </c>
    </row>
    <row r="50">
      <c r="A50" s="36" t="inlineStr">
        <is>
          <t>INST_CO0500006310_1245736741</t>
        </is>
      </c>
      <c r="B50" s="37" t="inlineStr">
        <is>
          <t>INST</t>
        </is>
      </c>
      <c r="C50" s="28" t="inlineStr">
        <is>
          <t>CO0500006310</t>
        </is>
      </c>
      <c r="D50" s="38" t="inlineStr">
        <is>
          <t>No</t>
        </is>
      </c>
      <c r="E50" s="38" t="inlineStr">
        <is>
          <t>Estándar CO0xxx</t>
        </is>
      </c>
    </row>
    <row r="51">
      <c r="A51" s="33" t="inlineStr">
        <is>
          <t>INST_CO0500006347_1251601647</t>
        </is>
      </c>
      <c r="B51" s="34" t="inlineStr">
        <is>
          <t>INST</t>
        </is>
      </c>
      <c r="C51" s="31" t="inlineStr">
        <is>
          <t>CO0500006347</t>
        </is>
      </c>
      <c r="D51" s="35" t="inlineStr">
        <is>
          <t>No</t>
        </is>
      </c>
      <c r="E51" s="35" t="inlineStr">
        <is>
          <t>Estándar CO0xxx</t>
        </is>
      </c>
    </row>
    <row r="52">
      <c r="A52" s="36" t="inlineStr">
        <is>
          <t>INST_CO0500006395_1257272468_1</t>
        </is>
      </c>
      <c r="B52" s="37" t="inlineStr">
        <is>
          <t>INST</t>
        </is>
      </c>
      <c r="C52" s="28" t="inlineStr">
        <is>
          <t>CO0500006395</t>
        </is>
      </c>
      <c r="D52" s="42" t="inlineStr">
        <is>
          <t>Sí (_1/_2)</t>
        </is>
      </c>
      <c r="E52" s="38" t="inlineStr">
        <is>
          <t>Estándar CO0xxx</t>
        </is>
      </c>
    </row>
    <row r="53">
      <c r="A53" s="33" t="inlineStr">
        <is>
          <t>LEGA_CO0100004299_1262758905_1</t>
        </is>
      </c>
      <c r="B53" s="34" t="inlineStr">
        <is>
          <t>LEGA</t>
        </is>
      </c>
      <c r="C53" s="31" t="inlineStr">
        <is>
          <t>CO0100004299</t>
        </is>
      </c>
      <c r="D53" s="41" t="inlineStr">
        <is>
          <t>Sí (_1/_2)</t>
        </is>
      </c>
      <c r="E53" s="35" t="inlineStr">
        <is>
          <t>Estándar CO0xxx</t>
        </is>
      </c>
    </row>
    <row r="54">
      <c r="A54" s="36" t="inlineStr">
        <is>
          <t>LEGA_CO0100004299_1263571928_1</t>
        </is>
      </c>
      <c r="B54" s="37" t="inlineStr">
        <is>
          <t>LEGA</t>
        </is>
      </c>
      <c r="C54" s="28" t="inlineStr">
        <is>
          <t>CO0100004299</t>
        </is>
      </c>
      <c r="D54" s="42" t="inlineStr">
        <is>
          <t>Sí (_1/_2)</t>
        </is>
      </c>
      <c r="E54" s="38" t="inlineStr">
        <is>
          <t>Estándar CO0xxx</t>
        </is>
      </c>
    </row>
    <row r="55">
      <c r="A55" s="33" t="inlineStr">
        <is>
          <t>LEGA_CO0100004540_1262112265_1</t>
        </is>
      </c>
      <c r="B55" s="34" t="inlineStr">
        <is>
          <t>LEGA</t>
        </is>
      </c>
      <c r="C55" s="31" t="inlineStr">
        <is>
          <t>CO0100004540</t>
        </is>
      </c>
      <c r="D55" s="41" t="inlineStr">
        <is>
          <t>Sí (_1/_2)</t>
        </is>
      </c>
      <c r="E55" s="35" t="inlineStr">
        <is>
          <t>Estándar CO0xxx</t>
        </is>
      </c>
    </row>
    <row r="56">
      <c r="A56" s="36" t="inlineStr">
        <is>
          <t>NOAL_CO0100000322_1316513785_1</t>
        </is>
      </c>
      <c r="B56" s="37" t="inlineStr">
        <is>
          <t>NOAL</t>
        </is>
      </c>
      <c r="C56" s="28" t="inlineStr">
        <is>
          <t>CO0100000322</t>
        </is>
      </c>
      <c r="D56" s="42" t="inlineStr">
        <is>
          <t>Sí (_1/_2)</t>
        </is>
      </c>
      <c r="E56" s="38" t="inlineStr">
        <is>
          <t>Estándar CO0xxx</t>
        </is>
      </c>
    </row>
    <row r="57">
      <c r="A57" s="33" t="inlineStr">
        <is>
          <t>NOAL_CO0100005507_1247452616</t>
        </is>
      </c>
      <c r="B57" s="34" t="inlineStr">
        <is>
          <t>NOAL</t>
        </is>
      </c>
      <c r="C57" s="31" t="inlineStr">
        <is>
          <t>CO0100005507</t>
        </is>
      </c>
      <c r="D57" s="35" t="inlineStr">
        <is>
          <t>No</t>
        </is>
      </c>
      <c r="E57" s="35" t="inlineStr">
        <is>
          <t>Estándar CO0xxx</t>
        </is>
      </c>
    </row>
    <row r="58">
      <c r="A58" s="36" t="inlineStr">
        <is>
          <t>NOAL_CO0100005702_1257451503_1</t>
        </is>
      </c>
      <c r="B58" s="37" t="inlineStr">
        <is>
          <t>NOAL</t>
        </is>
      </c>
      <c r="C58" s="28" t="inlineStr">
        <is>
          <t>CO0100005702</t>
        </is>
      </c>
      <c r="D58" s="42" t="inlineStr">
        <is>
          <t>Sí (_1/_2)</t>
        </is>
      </c>
      <c r="E58" s="38" t="inlineStr">
        <is>
          <t>Estándar CO0xxx</t>
        </is>
      </c>
    </row>
    <row r="59">
      <c r="A59" s="33" t="inlineStr">
        <is>
          <t>NOAL_CO0500002491_1251041800</t>
        </is>
      </c>
      <c r="B59" s="34" t="inlineStr">
        <is>
          <t>NOAL</t>
        </is>
      </c>
      <c r="C59" s="31" t="inlineStr">
        <is>
          <t>CO0500002491</t>
        </is>
      </c>
      <c r="D59" s="35" t="inlineStr">
        <is>
          <t>No</t>
        </is>
      </c>
      <c r="E59" s="35" t="inlineStr">
        <is>
          <t>Estándar CO0xxx</t>
        </is>
      </c>
    </row>
    <row r="60">
      <c r="A60" s="36" t="inlineStr">
        <is>
          <t>NOCO_CO0100002516_1261825513_1</t>
        </is>
      </c>
      <c r="B60" s="37" t="inlineStr">
        <is>
          <t>NOCO</t>
        </is>
      </c>
      <c r="C60" s="28" t="inlineStr">
        <is>
          <t>CO0100002516</t>
        </is>
      </c>
      <c r="D60" s="42" t="inlineStr">
        <is>
          <t>Sí (_1/_2)</t>
        </is>
      </c>
      <c r="E60" s="38" t="inlineStr">
        <is>
          <t>Estándar CO0xxx</t>
        </is>
      </c>
    </row>
    <row r="61">
      <c r="A61" s="33" t="inlineStr">
        <is>
          <t>NORM_CO0100004484_1094552066_1</t>
        </is>
      </c>
      <c r="B61" s="34" t="inlineStr">
        <is>
          <t>NORM</t>
        </is>
      </c>
      <c r="C61" s="31" t="inlineStr">
        <is>
          <t>CO0100004484</t>
        </is>
      </c>
      <c r="D61" s="41" t="inlineStr">
        <is>
          <t>Sí (_1/_2)</t>
        </is>
      </c>
      <c r="E61" s="35" t="inlineStr">
        <is>
          <t>Estándar CO0xxx</t>
        </is>
      </c>
    </row>
    <row r="62">
      <c r="A62" s="36" t="inlineStr">
        <is>
          <t>NORM_CO0100005447_1254022625</t>
        </is>
      </c>
      <c r="B62" s="37" t="inlineStr">
        <is>
          <t>NORM</t>
        </is>
      </c>
      <c r="C62" s="28" t="inlineStr">
        <is>
          <t>CO0100005447</t>
        </is>
      </c>
      <c r="D62" s="38" t="inlineStr">
        <is>
          <t>No</t>
        </is>
      </c>
      <c r="E62" s="38" t="inlineStr">
        <is>
          <t>Estándar CO0xxx</t>
        </is>
      </c>
    </row>
    <row r="63">
      <c r="A63" s="33" t="inlineStr">
        <is>
          <t>NOTE_CO0000001027_1257464759</t>
        </is>
      </c>
      <c r="B63" s="34" t="inlineStr">
        <is>
          <t>NOTE</t>
        </is>
      </c>
      <c r="C63" s="31" t="inlineStr">
        <is>
          <t>CO0000001027</t>
        </is>
      </c>
      <c r="D63" s="35" t="inlineStr">
        <is>
          <t>No</t>
        </is>
      </c>
      <c r="E63" s="35" t="inlineStr">
        <is>
          <t>Estándar CO0xxx</t>
        </is>
      </c>
    </row>
    <row r="64">
      <c r="A64" s="36" t="inlineStr">
        <is>
          <t>NOTE_CO0000001027_1262106948_1</t>
        </is>
      </c>
      <c r="B64" s="37" t="inlineStr">
        <is>
          <t>NOTE</t>
        </is>
      </c>
      <c r="C64" s="28" t="inlineStr">
        <is>
          <t>CO0000001027</t>
        </is>
      </c>
      <c r="D64" s="42" t="inlineStr">
        <is>
          <t>Sí (_1/_2)</t>
        </is>
      </c>
      <c r="E64" s="38" t="inlineStr">
        <is>
          <t>Estándar CO0xxx</t>
        </is>
      </c>
    </row>
    <row r="65">
      <c r="A65" s="33" t="inlineStr">
        <is>
          <t>NOTE_CO0000001034_1260880787_1</t>
        </is>
      </c>
      <c r="B65" s="34" t="inlineStr">
        <is>
          <t>NOTE</t>
        </is>
      </c>
      <c r="C65" s="31" t="inlineStr">
        <is>
          <t>CO0000001034</t>
        </is>
      </c>
      <c r="D65" s="41" t="inlineStr">
        <is>
          <t>Sí (_1/_2)</t>
        </is>
      </c>
      <c r="E65" s="35" t="inlineStr">
        <is>
          <t>Estándar CO0xxx</t>
        </is>
      </c>
    </row>
    <row r="66">
      <c r="A66" s="36" t="inlineStr">
        <is>
          <t>NOTE_CO0100000263_1258782994_1</t>
        </is>
      </c>
      <c r="B66" s="37" t="inlineStr">
        <is>
          <t>NOTE</t>
        </is>
      </c>
      <c r="C66" s="28" t="inlineStr">
        <is>
          <t>CO0100000263</t>
        </is>
      </c>
      <c r="D66" s="42" t="inlineStr">
        <is>
          <t>Sí (_1/_2)</t>
        </is>
      </c>
      <c r="E66" s="38" t="inlineStr">
        <is>
          <t>Estándar CO0xxx</t>
        </is>
      </c>
    </row>
    <row r="67">
      <c r="A67" s="33" t="inlineStr">
        <is>
          <t>NOTE_CO0100000264_1268733514_1</t>
        </is>
      </c>
      <c r="B67" s="34" t="inlineStr">
        <is>
          <t>NOTE</t>
        </is>
      </c>
      <c r="C67" s="31" t="inlineStr">
        <is>
          <t>CO0100000264</t>
        </is>
      </c>
      <c r="D67" s="41" t="inlineStr">
        <is>
          <t>Sí (_1/_2)</t>
        </is>
      </c>
      <c r="E67" s="35" t="inlineStr">
        <is>
          <t>Estándar CO0xxx</t>
        </is>
      </c>
    </row>
    <row r="68">
      <c r="A68" s="36" t="inlineStr">
        <is>
          <t>NOTE_CO0100000287_1254916467</t>
        </is>
      </c>
      <c r="B68" s="37" t="inlineStr">
        <is>
          <t>NOTE</t>
        </is>
      </c>
      <c r="C68" s="28" t="inlineStr">
        <is>
          <t>CO0100000287</t>
        </is>
      </c>
      <c r="D68" s="38" t="inlineStr">
        <is>
          <t>No</t>
        </is>
      </c>
      <c r="E68" s="38" t="inlineStr">
        <is>
          <t>Estándar CO0xxx</t>
        </is>
      </c>
    </row>
    <row r="69">
      <c r="A69" s="33" t="inlineStr">
        <is>
          <t>NOTE_CO0100000287_1260009626_1</t>
        </is>
      </c>
      <c r="B69" s="34" t="inlineStr">
        <is>
          <t>NOTE</t>
        </is>
      </c>
      <c r="C69" s="31" t="inlineStr">
        <is>
          <t>CO0100000287</t>
        </is>
      </c>
      <c r="D69" s="41" t="inlineStr">
        <is>
          <t>Sí (_1/_2)</t>
        </is>
      </c>
      <c r="E69" s="35" t="inlineStr">
        <is>
          <t>Estándar CO0xxx</t>
        </is>
      </c>
    </row>
    <row r="70">
      <c r="A70" s="36" t="inlineStr">
        <is>
          <t>NOTE_CO0100000433_1261792998_1</t>
        </is>
      </c>
      <c r="B70" s="37" t="inlineStr">
        <is>
          <t>NOTE</t>
        </is>
      </c>
      <c r="C70" s="28" t="inlineStr">
        <is>
          <t>CO0100000433</t>
        </is>
      </c>
      <c r="D70" s="42" t="inlineStr">
        <is>
          <t>Sí (_1/_2)</t>
        </is>
      </c>
      <c r="E70" s="38" t="inlineStr">
        <is>
          <t>Estándar CO0xxx</t>
        </is>
      </c>
    </row>
    <row r="71">
      <c r="A71" s="33" t="inlineStr">
        <is>
          <t>NOTE_CO0100000939_1248327970</t>
        </is>
      </c>
      <c r="B71" s="34" t="inlineStr">
        <is>
          <t>NOTE</t>
        </is>
      </c>
      <c r="C71" s="31" t="inlineStr">
        <is>
          <t>CO0100000939</t>
        </is>
      </c>
      <c r="D71" s="35" t="inlineStr">
        <is>
          <t>No</t>
        </is>
      </c>
      <c r="E71" s="35" t="inlineStr">
        <is>
          <t>Estándar CO0xxx</t>
        </is>
      </c>
    </row>
    <row r="72">
      <c r="A72" s="36" t="inlineStr">
        <is>
          <t>NOTE_CO0100001028_1261805407_1</t>
        </is>
      </c>
      <c r="B72" s="37" t="inlineStr">
        <is>
          <t>NOTE</t>
        </is>
      </c>
      <c r="C72" s="28" t="inlineStr">
        <is>
          <t>CO0100001028</t>
        </is>
      </c>
      <c r="D72" s="42" t="inlineStr">
        <is>
          <t>Sí (_1/_2)</t>
        </is>
      </c>
      <c r="E72" s="38" t="inlineStr">
        <is>
          <t>Estándar CO0xxx</t>
        </is>
      </c>
    </row>
    <row r="73">
      <c r="A73" s="33" t="inlineStr">
        <is>
          <t>NOTE_CO0100001064_1254654564</t>
        </is>
      </c>
      <c r="B73" s="34" t="inlineStr">
        <is>
          <t>NOTE</t>
        </is>
      </c>
      <c r="C73" s="31" t="inlineStr">
        <is>
          <t>CO0100001064</t>
        </is>
      </c>
      <c r="D73" s="35" t="inlineStr">
        <is>
          <t>No</t>
        </is>
      </c>
      <c r="E73" s="35" t="inlineStr">
        <is>
          <t>Estándar CO0xxx</t>
        </is>
      </c>
    </row>
    <row r="74">
      <c r="A74" s="36" t="inlineStr">
        <is>
          <t>NOTE_CO0100001084_1254997385</t>
        </is>
      </c>
      <c r="B74" s="37" t="inlineStr">
        <is>
          <t>NOTE</t>
        </is>
      </c>
      <c r="C74" s="28" t="inlineStr">
        <is>
          <t>CO0100001084</t>
        </is>
      </c>
      <c r="D74" s="38" t="inlineStr">
        <is>
          <t>No</t>
        </is>
      </c>
      <c r="E74" s="38" t="inlineStr">
        <is>
          <t>Estándar CO0xxx</t>
        </is>
      </c>
    </row>
    <row r="75">
      <c r="A75" s="33" t="inlineStr">
        <is>
          <t>NOTE_CO0100001091_1332744651_1</t>
        </is>
      </c>
      <c r="B75" s="34" t="inlineStr">
        <is>
          <t>NOTE</t>
        </is>
      </c>
      <c r="C75" s="31" t="inlineStr">
        <is>
          <t>CO0100001091</t>
        </is>
      </c>
      <c r="D75" s="41" t="inlineStr">
        <is>
          <t>Sí (_1/_2)</t>
        </is>
      </c>
      <c r="E75" s="35" t="inlineStr">
        <is>
          <t>Estándar CO0xxx</t>
        </is>
      </c>
    </row>
    <row r="76">
      <c r="A76" s="36" t="inlineStr">
        <is>
          <t>NOTE_CO0100001094_1273340392_1</t>
        </is>
      </c>
      <c r="B76" s="37" t="inlineStr">
        <is>
          <t>NOTE</t>
        </is>
      </c>
      <c r="C76" s="28" t="inlineStr">
        <is>
          <t>CO0100001094</t>
        </is>
      </c>
      <c r="D76" s="42" t="inlineStr">
        <is>
          <t>Sí (_1/_2)</t>
        </is>
      </c>
      <c r="E76" s="38" t="inlineStr">
        <is>
          <t>Estándar CO0xxx</t>
        </is>
      </c>
    </row>
    <row r="77">
      <c r="A77" s="33" t="inlineStr">
        <is>
          <t>NOTE_CO0100001259_1269644745_1</t>
        </is>
      </c>
      <c r="B77" s="34" t="inlineStr">
        <is>
          <t>NOTE</t>
        </is>
      </c>
      <c r="C77" s="31" t="inlineStr">
        <is>
          <t>CO0100001259</t>
        </is>
      </c>
      <c r="D77" s="41" t="inlineStr">
        <is>
          <t>Sí (_1/_2)</t>
        </is>
      </c>
      <c r="E77" s="35" t="inlineStr">
        <is>
          <t>Estándar CO0xxx</t>
        </is>
      </c>
    </row>
    <row r="78">
      <c r="A78" s="36" t="inlineStr">
        <is>
          <t>NOTE_CO0100001260_1258051103</t>
        </is>
      </c>
      <c r="B78" s="37" t="inlineStr">
        <is>
          <t>NOTE</t>
        </is>
      </c>
      <c r="C78" s="28" t="inlineStr">
        <is>
          <t>CO0100001260</t>
        </is>
      </c>
      <c r="D78" s="38" t="inlineStr">
        <is>
          <t>No</t>
        </is>
      </c>
      <c r="E78" s="38" t="inlineStr">
        <is>
          <t>Estándar CO0xxx</t>
        </is>
      </c>
    </row>
    <row r="79">
      <c r="A79" s="33" t="inlineStr">
        <is>
          <t>NOTE_CO0100001261_1258051618</t>
        </is>
      </c>
      <c r="B79" s="34" t="inlineStr">
        <is>
          <t>NOTE</t>
        </is>
      </c>
      <c r="C79" s="31" t="inlineStr">
        <is>
          <t>CO0100001261</t>
        </is>
      </c>
      <c r="D79" s="35" t="inlineStr">
        <is>
          <t>No</t>
        </is>
      </c>
      <c r="E79" s="35" t="inlineStr">
        <is>
          <t>Estándar CO0xxx</t>
        </is>
      </c>
    </row>
    <row r="80">
      <c r="A80" s="36" t="inlineStr">
        <is>
          <t>NOTE_CO0100001263_1258048212</t>
        </is>
      </c>
      <c r="B80" s="37" t="inlineStr">
        <is>
          <t>NOTE</t>
        </is>
      </c>
      <c r="C80" s="28" t="inlineStr">
        <is>
          <t>CO0100001263</t>
        </is>
      </c>
      <c r="D80" s="38" t="inlineStr">
        <is>
          <t>No</t>
        </is>
      </c>
      <c r="E80" s="38" t="inlineStr">
        <is>
          <t>Estándar CO0xxx</t>
        </is>
      </c>
    </row>
    <row r="81">
      <c r="A81" s="33" t="inlineStr">
        <is>
          <t>NOTE_CO0100001264_1258049031</t>
        </is>
      </c>
      <c r="B81" s="34" t="inlineStr">
        <is>
          <t>NOTE</t>
        </is>
      </c>
      <c r="C81" s="31" t="inlineStr">
        <is>
          <t>CO0100001264</t>
        </is>
      </c>
      <c r="D81" s="35" t="inlineStr">
        <is>
          <t>No</t>
        </is>
      </c>
      <c r="E81" s="35" t="inlineStr">
        <is>
          <t>Estándar CO0xxx</t>
        </is>
      </c>
    </row>
    <row r="82">
      <c r="A82" s="36" t="inlineStr">
        <is>
          <t>NOTE_CO0100001465_1254909123</t>
        </is>
      </c>
      <c r="B82" s="37" t="inlineStr">
        <is>
          <t>NOTE</t>
        </is>
      </c>
      <c r="C82" s="28" t="inlineStr">
        <is>
          <t>CO0100001465</t>
        </is>
      </c>
      <c r="D82" s="38" t="inlineStr">
        <is>
          <t>No</t>
        </is>
      </c>
      <c r="E82" s="38" t="inlineStr">
        <is>
          <t>Estándar CO0xxx</t>
        </is>
      </c>
    </row>
    <row r="83">
      <c r="A83" s="33" t="inlineStr">
        <is>
          <t>NOTE_CO0100001507_1258783166_1</t>
        </is>
      </c>
      <c r="B83" s="34" t="inlineStr">
        <is>
          <t>NOTE</t>
        </is>
      </c>
      <c r="C83" s="31" t="inlineStr">
        <is>
          <t>CO0100001507</t>
        </is>
      </c>
      <c r="D83" s="41" t="inlineStr">
        <is>
          <t>Sí (_1/_2)</t>
        </is>
      </c>
      <c r="E83" s="35" t="inlineStr">
        <is>
          <t>Estándar CO0xxx</t>
        </is>
      </c>
    </row>
    <row r="84">
      <c r="A84" s="36" t="inlineStr">
        <is>
          <t>NOTE_CO0100001514_1260885415_1</t>
        </is>
      </c>
      <c r="B84" s="37" t="inlineStr">
        <is>
          <t>NOTE</t>
        </is>
      </c>
      <c r="C84" s="28" t="inlineStr">
        <is>
          <t>CO0100001514</t>
        </is>
      </c>
      <c r="D84" s="42" t="inlineStr">
        <is>
          <t>Sí (_1/_2)</t>
        </is>
      </c>
      <c r="E84" s="38" t="inlineStr">
        <is>
          <t>Estándar CO0xxx</t>
        </is>
      </c>
    </row>
    <row r="85">
      <c r="A85" s="33" t="inlineStr">
        <is>
          <t>NOTE_CO0100001517_1269069810_1</t>
        </is>
      </c>
      <c r="B85" s="34" t="inlineStr">
        <is>
          <t>NOTE</t>
        </is>
      </c>
      <c r="C85" s="31" t="inlineStr">
        <is>
          <t>CO0100001517</t>
        </is>
      </c>
      <c r="D85" s="41" t="inlineStr">
        <is>
          <t>Sí (_1/_2)</t>
        </is>
      </c>
      <c r="E85" s="35" t="inlineStr">
        <is>
          <t>Estándar CO0xxx</t>
        </is>
      </c>
    </row>
    <row r="86">
      <c r="A86" s="36" t="inlineStr">
        <is>
          <t>NOTE_CO0100001520_1266216774_1</t>
        </is>
      </c>
      <c r="B86" s="37" t="inlineStr">
        <is>
          <t>NOTE</t>
        </is>
      </c>
      <c r="C86" s="28" t="inlineStr">
        <is>
          <t>CO0100001520</t>
        </is>
      </c>
      <c r="D86" s="42" t="inlineStr">
        <is>
          <t>Sí (_1/_2)</t>
        </is>
      </c>
      <c r="E86" s="38" t="inlineStr">
        <is>
          <t>Estándar CO0xxx</t>
        </is>
      </c>
    </row>
    <row r="87">
      <c r="A87" s="33" t="inlineStr">
        <is>
          <t>NOTE_CO0100001640_1260011014_1</t>
        </is>
      </c>
      <c r="B87" s="34" t="inlineStr">
        <is>
          <t>NOTE</t>
        </is>
      </c>
      <c r="C87" s="31" t="inlineStr">
        <is>
          <t>CO0100001640</t>
        </is>
      </c>
      <c r="D87" s="41" t="inlineStr">
        <is>
          <t>Sí (_1/_2)</t>
        </is>
      </c>
      <c r="E87" s="35" t="inlineStr">
        <is>
          <t>Estándar CO0xxx</t>
        </is>
      </c>
    </row>
    <row r="88">
      <c r="A88" s="36" t="inlineStr">
        <is>
          <t>NOTE_CO0100001669_1251771892</t>
        </is>
      </c>
      <c r="B88" s="37" t="inlineStr">
        <is>
          <t>NOTE</t>
        </is>
      </c>
      <c r="C88" s="28" t="inlineStr">
        <is>
          <t>CO0100001669</t>
        </is>
      </c>
      <c r="D88" s="38" t="inlineStr">
        <is>
          <t>No</t>
        </is>
      </c>
      <c r="E88" s="38" t="inlineStr">
        <is>
          <t>Estándar CO0xxx</t>
        </is>
      </c>
    </row>
    <row r="89">
      <c r="A89" s="33" t="inlineStr">
        <is>
          <t>NOTE_CO0100001670_1274248671_1</t>
        </is>
      </c>
      <c r="B89" s="34" t="inlineStr">
        <is>
          <t>NOTE</t>
        </is>
      </c>
      <c r="C89" s="31" t="inlineStr">
        <is>
          <t>CO0100001670</t>
        </is>
      </c>
      <c r="D89" s="41" t="inlineStr">
        <is>
          <t>Sí (_1/_2)</t>
        </is>
      </c>
      <c r="E89" s="35" t="inlineStr">
        <is>
          <t>Estándar CO0xxx</t>
        </is>
      </c>
    </row>
    <row r="90">
      <c r="A90" s="36" t="inlineStr">
        <is>
          <t>NOTE_CO0100001678_1256565986</t>
        </is>
      </c>
      <c r="B90" s="37" t="inlineStr">
        <is>
          <t>NOTE</t>
        </is>
      </c>
      <c r="C90" s="28" t="inlineStr">
        <is>
          <t>CO0100001678</t>
        </is>
      </c>
      <c r="D90" s="38" t="inlineStr">
        <is>
          <t>No</t>
        </is>
      </c>
      <c r="E90" s="38" t="inlineStr">
        <is>
          <t>Estándar CO0xxx</t>
        </is>
      </c>
    </row>
    <row r="91">
      <c r="A91" s="33" t="inlineStr">
        <is>
          <t>NOTE_CO0100001703_1269050498_1</t>
        </is>
      </c>
      <c r="B91" s="34" t="inlineStr">
        <is>
          <t>NOTE</t>
        </is>
      </c>
      <c r="C91" s="31" t="inlineStr">
        <is>
          <t>CO0100001703</t>
        </is>
      </c>
      <c r="D91" s="41" t="inlineStr">
        <is>
          <t>Sí (_1/_2)</t>
        </is>
      </c>
      <c r="E91" s="35" t="inlineStr">
        <is>
          <t>Estándar CO0xxx</t>
        </is>
      </c>
    </row>
    <row r="92">
      <c r="A92" s="36" t="inlineStr">
        <is>
          <t>NOTE_CO0100001716_1253958541</t>
        </is>
      </c>
      <c r="B92" s="37" t="inlineStr">
        <is>
          <t>NOTE</t>
        </is>
      </c>
      <c r="C92" s="28" t="inlineStr">
        <is>
          <t>CO0100001716</t>
        </is>
      </c>
      <c r="D92" s="38" t="inlineStr">
        <is>
          <t>No</t>
        </is>
      </c>
      <c r="E92" s="38" t="inlineStr">
        <is>
          <t>Estándar CO0xxx</t>
        </is>
      </c>
    </row>
    <row r="93">
      <c r="A93" s="33" t="inlineStr">
        <is>
          <t>NOTE_CO0100001805_1323300851_1</t>
        </is>
      </c>
      <c r="B93" s="34" t="inlineStr">
        <is>
          <t>NOTE</t>
        </is>
      </c>
      <c r="C93" s="31" t="inlineStr">
        <is>
          <t>CO0100001805</t>
        </is>
      </c>
      <c r="D93" s="41" t="inlineStr">
        <is>
          <t>Sí (_1/_2)</t>
        </is>
      </c>
      <c r="E93" s="35" t="inlineStr">
        <is>
          <t>Estándar CO0xxx</t>
        </is>
      </c>
    </row>
    <row r="94">
      <c r="A94" s="36" t="inlineStr">
        <is>
          <t>NOTE_CO0100002119_1246866522</t>
        </is>
      </c>
      <c r="B94" s="37" t="inlineStr">
        <is>
          <t>NOTE</t>
        </is>
      </c>
      <c r="C94" s="28" t="inlineStr">
        <is>
          <t>CO0100002119</t>
        </is>
      </c>
      <c r="D94" s="38" t="inlineStr">
        <is>
          <t>No</t>
        </is>
      </c>
      <c r="E94" s="38" t="inlineStr">
        <is>
          <t>Estándar CO0xxx</t>
        </is>
      </c>
    </row>
    <row r="95">
      <c r="A95" s="33" t="inlineStr">
        <is>
          <t>NOTE_CO0100002148_1254097936</t>
        </is>
      </c>
      <c r="B95" s="34" t="inlineStr">
        <is>
          <t>NOTE</t>
        </is>
      </c>
      <c r="C95" s="31" t="inlineStr">
        <is>
          <t>CO0100002148</t>
        </is>
      </c>
      <c r="D95" s="35" t="inlineStr">
        <is>
          <t>No</t>
        </is>
      </c>
      <c r="E95" s="35" t="inlineStr">
        <is>
          <t>Estándar CO0xxx</t>
        </is>
      </c>
    </row>
    <row r="96">
      <c r="A96" s="36" t="inlineStr">
        <is>
          <t>NOTE_CO0100002148_1261865496_1</t>
        </is>
      </c>
      <c r="B96" s="37" t="inlineStr">
        <is>
          <t>NOTE</t>
        </is>
      </c>
      <c r="C96" s="28" t="inlineStr">
        <is>
          <t>CO0100002148</t>
        </is>
      </c>
      <c r="D96" s="42" t="inlineStr">
        <is>
          <t>Sí (_1/_2)</t>
        </is>
      </c>
      <c r="E96" s="38" t="inlineStr">
        <is>
          <t>Estándar CO0xxx</t>
        </is>
      </c>
    </row>
    <row r="97">
      <c r="A97" s="33" t="inlineStr">
        <is>
          <t>NOTE_CO0100002157_1261865097_1</t>
        </is>
      </c>
      <c r="B97" s="34" t="inlineStr">
        <is>
          <t>NOTE</t>
        </is>
      </c>
      <c r="C97" s="31" t="inlineStr">
        <is>
          <t>CO0100002157</t>
        </is>
      </c>
      <c r="D97" s="41" t="inlineStr">
        <is>
          <t>Sí (_1/_2)</t>
        </is>
      </c>
      <c r="E97" s="35" t="inlineStr">
        <is>
          <t>Estándar CO0xxx</t>
        </is>
      </c>
    </row>
    <row r="98">
      <c r="A98" s="36" t="inlineStr">
        <is>
          <t>NOTE_CO0100002159_1252026314</t>
        </is>
      </c>
      <c r="B98" s="37" t="inlineStr">
        <is>
          <t>NOTE</t>
        </is>
      </c>
      <c r="C98" s="28" t="inlineStr">
        <is>
          <t>CO0100002159</t>
        </is>
      </c>
      <c r="D98" s="38" t="inlineStr">
        <is>
          <t>No</t>
        </is>
      </c>
      <c r="E98" s="38" t="inlineStr">
        <is>
          <t>Estándar CO0xxx</t>
        </is>
      </c>
    </row>
    <row r="99">
      <c r="A99" s="33" t="inlineStr">
        <is>
          <t>NOTE_CO0100002164_1259360986_1</t>
        </is>
      </c>
      <c r="B99" s="34" t="inlineStr">
        <is>
          <t>NOTE</t>
        </is>
      </c>
      <c r="C99" s="31" t="inlineStr">
        <is>
          <t>CO0100002164</t>
        </is>
      </c>
      <c r="D99" s="41" t="inlineStr">
        <is>
          <t>Sí (_1/_2)</t>
        </is>
      </c>
      <c r="E99" s="35" t="inlineStr">
        <is>
          <t>Estándar CO0xxx</t>
        </is>
      </c>
    </row>
    <row r="100">
      <c r="A100" s="36" t="inlineStr">
        <is>
          <t>NOTE_CO0100002167_1268723888_1</t>
        </is>
      </c>
      <c r="B100" s="37" t="inlineStr">
        <is>
          <t>NOTE</t>
        </is>
      </c>
      <c r="C100" s="28" t="inlineStr">
        <is>
          <t>CO0100002167</t>
        </is>
      </c>
      <c r="D100" s="42" t="inlineStr">
        <is>
          <t>Sí (_1/_2)</t>
        </is>
      </c>
      <c r="E100" s="38" t="inlineStr">
        <is>
          <t>Estándar CO0xxx</t>
        </is>
      </c>
    </row>
    <row r="101">
      <c r="A101" s="33" t="inlineStr">
        <is>
          <t>NOTE_CO0100002170_1262443764_1</t>
        </is>
      </c>
      <c r="B101" s="34" t="inlineStr">
        <is>
          <t>NOTE</t>
        </is>
      </c>
      <c r="C101" s="31" t="inlineStr">
        <is>
          <t>CO0100002170</t>
        </is>
      </c>
      <c r="D101" s="41" t="inlineStr">
        <is>
          <t>Sí (_1/_2)</t>
        </is>
      </c>
      <c r="E101" s="35" t="inlineStr">
        <is>
          <t>Estándar CO0xxx</t>
        </is>
      </c>
    </row>
    <row r="102">
      <c r="A102" s="36" t="inlineStr">
        <is>
          <t>NOTE_CO0100002250_1263977290_1</t>
        </is>
      </c>
      <c r="B102" s="37" t="inlineStr">
        <is>
          <t>NOTE</t>
        </is>
      </c>
      <c r="C102" s="28" t="inlineStr">
        <is>
          <t>CO0100002250</t>
        </is>
      </c>
      <c r="D102" s="42" t="inlineStr">
        <is>
          <t>Sí (_1/_2)</t>
        </is>
      </c>
      <c r="E102" s="38" t="inlineStr">
        <is>
          <t>Estándar CO0xxx</t>
        </is>
      </c>
    </row>
    <row r="103">
      <c r="A103" s="33" t="inlineStr">
        <is>
          <t>NOTE_CO0100002294_1259369524_1</t>
        </is>
      </c>
      <c r="B103" s="34" t="inlineStr">
        <is>
          <t>NOTE</t>
        </is>
      </c>
      <c r="C103" s="31" t="inlineStr">
        <is>
          <t>CO0100002294</t>
        </is>
      </c>
      <c r="D103" s="41" t="inlineStr">
        <is>
          <t>Sí (_1/_2)</t>
        </is>
      </c>
      <c r="E103" s="35" t="inlineStr">
        <is>
          <t>Estándar CO0xxx</t>
        </is>
      </c>
    </row>
    <row r="104">
      <c r="A104" s="36" t="inlineStr">
        <is>
          <t>NOTE_CO0100002303_1271990810_1</t>
        </is>
      </c>
      <c r="B104" s="37" t="inlineStr">
        <is>
          <t>NOTE</t>
        </is>
      </c>
      <c r="C104" s="28" t="inlineStr">
        <is>
          <t>CO0100002303</t>
        </is>
      </c>
      <c r="D104" s="42" t="inlineStr">
        <is>
          <t>Sí (_1/_2)</t>
        </is>
      </c>
      <c r="E104" s="38" t="inlineStr">
        <is>
          <t>Estándar CO0xxx</t>
        </is>
      </c>
    </row>
    <row r="105">
      <c r="A105" s="33" t="inlineStr">
        <is>
          <t>NOTE_CO0100002573_1258782771_1</t>
        </is>
      </c>
      <c r="B105" s="34" t="inlineStr">
        <is>
          <t>NOTE</t>
        </is>
      </c>
      <c r="C105" s="31" t="inlineStr">
        <is>
          <t>CO0100002573</t>
        </is>
      </c>
      <c r="D105" s="41" t="inlineStr">
        <is>
          <t>Sí (_1/_2)</t>
        </is>
      </c>
      <c r="E105" s="35" t="inlineStr">
        <is>
          <t>Estándar CO0xxx</t>
        </is>
      </c>
    </row>
    <row r="106">
      <c r="A106" s="36" t="inlineStr">
        <is>
          <t>NOTE_CO0100003075_1261864793_1</t>
        </is>
      </c>
      <c r="B106" s="37" t="inlineStr">
        <is>
          <t>NOTE</t>
        </is>
      </c>
      <c r="C106" s="28" t="inlineStr">
        <is>
          <t>CO0100003075</t>
        </is>
      </c>
      <c r="D106" s="42" t="inlineStr">
        <is>
          <t>Sí (_1/_2)</t>
        </is>
      </c>
      <c r="E106" s="38" t="inlineStr">
        <is>
          <t>Estándar CO0xxx</t>
        </is>
      </c>
    </row>
    <row r="107">
      <c r="A107" s="33" t="inlineStr">
        <is>
          <t>NOTE_CO0100003600_1258783232_1</t>
        </is>
      </c>
      <c r="B107" s="34" t="inlineStr">
        <is>
          <t>NOTE</t>
        </is>
      </c>
      <c r="C107" s="31" t="inlineStr">
        <is>
          <t>CO0100003600</t>
        </is>
      </c>
      <c r="D107" s="41" t="inlineStr">
        <is>
          <t>Sí (_1/_2)</t>
        </is>
      </c>
      <c r="E107" s="35" t="inlineStr">
        <is>
          <t>Estándar CO0xxx</t>
        </is>
      </c>
    </row>
    <row r="108">
      <c r="A108" s="36" t="inlineStr">
        <is>
          <t>NOTE_CO0100003789_1252975409</t>
        </is>
      </c>
      <c r="B108" s="37" t="inlineStr">
        <is>
          <t>NOTE</t>
        </is>
      </c>
      <c r="C108" s="28" t="inlineStr">
        <is>
          <t>CO0100003789</t>
        </is>
      </c>
      <c r="D108" s="38" t="inlineStr">
        <is>
          <t>No</t>
        </is>
      </c>
      <c r="E108" s="38" t="inlineStr">
        <is>
          <t>Estándar CO0xxx</t>
        </is>
      </c>
    </row>
    <row r="109">
      <c r="A109" s="33" t="inlineStr">
        <is>
          <t>NOTE_CO0100003824_1258656831_1</t>
        </is>
      </c>
      <c r="B109" s="34" t="inlineStr">
        <is>
          <t>NOTE</t>
        </is>
      </c>
      <c r="C109" s="31" t="inlineStr">
        <is>
          <t>CO0100003824</t>
        </is>
      </c>
      <c r="D109" s="41" t="inlineStr">
        <is>
          <t>Sí (_1/_2)</t>
        </is>
      </c>
      <c r="E109" s="35" t="inlineStr">
        <is>
          <t>Estándar CO0xxx</t>
        </is>
      </c>
    </row>
    <row r="110">
      <c r="A110" s="36" t="inlineStr">
        <is>
          <t>NOTE_CO0100003831_1252971232</t>
        </is>
      </c>
      <c r="B110" s="37" t="inlineStr">
        <is>
          <t>NOTE</t>
        </is>
      </c>
      <c r="C110" s="28" t="inlineStr">
        <is>
          <t>CO0100003831</t>
        </is>
      </c>
      <c r="D110" s="38" t="inlineStr">
        <is>
          <t>No</t>
        </is>
      </c>
      <c r="E110" s="38" t="inlineStr">
        <is>
          <t>Estándar CO0xxx</t>
        </is>
      </c>
    </row>
    <row r="111">
      <c r="A111" s="33" t="inlineStr">
        <is>
          <t>NOTE_CO0100003837_1268732603_1</t>
        </is>
      </c>
      <c r="B111" s="34" t="inlineStr">
        <is>
          <t>NOTE</t>
        </is>
      </c>
      <c r="C111" s="31" t="inlineStr">
        <is>
          <t>CO0100003837</t>
        </is>
      </c>
      <c r="D111" s="41" t="inlineStr">
        <is>
          <t>Sí (_1/_2)</t>
        </is>
      </c>
      <c r="E111" s="35" t="inlineStr">
        <is>
          <t>Estándar CO0xxx</t>
        </is>
      </c>
    </row>
    <row r="112">
      <c r="A112" s="36" t="inlineStr">
        <is>
          <t>NOTE_CO0100003959_1268735144_1</t>
        </is>
      </c>
      <c r="B112" s="37" t="inlineStr">
        <is>
          <t>NOTE</t>
        </is>
      </c>
      <c r="C112" s="28" t="inlineStr">
        <is>
          <t>CO0100003959</t>
        </is>
      </c>
      <c r="D112" s="42" t="inlineStr">
        <is>
          <t>Sí (_1/_2)</t>
        </is>
      </c>
      <c r="E112" s="38" t="inlineStr">
        <is>
          <t>Estándar CO0xxx</t>
        </is>
      </c>
    </row>
    <row r="113">
      <c r="A113" s="33" t="inlineStr">
        <is>
          <t>NOTE_CO0100004226_1261793238_1</t>
        </is>
      </c>
      <c r="B113" s="34" t="inlineStr">
        <is>
          <t>NOTE</t>
        </is>
      </c>
      <c r="C113" s="31" t="inlineStr">
        <is>
          <t>CO0100004226</t>
        </is>
      </c>
      <c r="D113" s="41" t="inlineStr">
        <is>
          <t>Sí (_1/_2)</t>
        </is>
      </c>
      <c r="E113" s="35" t="inlineStr">
        <is>
          <t>Estándar CO0xxx</t>
        </is>
      </c>
    </row>
    <row r="114">
      <c r="A114" s="36" t="inlineStr">
        <is>
          <t>NOTE_CO0100004228_1271296612_1</t>
        </is>
      </c>
      <c r="B114" s="37" t="inlineStr">
        <is>
          <t>NOTE</t>
        </is>
      </c>
      <c r="C114" s="28" t="inlineStr">
        <is>
          <t>CO0100004228</t>
        </is>
      </c>
      <c r="D114" s="42" t="inlineStr">
        <is>
          <t>Sí (_1/_2)</t>
        </is>
      </c>
      <c r="E114" s="38" t="inlineStr">
        <is>
          <t>Estándar CO0xxx</t>
        </is>
      </c>
    </row>
    <row r="115">
      <c r="A115" s="33" t="inlineStr">
        <is>
          <t>NOTE_CO0100004229_1285719289_1</t>
        </is>
      </c>
      <c r="B115" s="34" t="inlineStr">
        <is>
          <t>NOTE</t>
        </is>
      </c>
      <c r="C115" s="31" t="inlineStr">
        <is>
          <t>CO0100004229</t>
        </is>
      </c>
      <c r="D115" s="41" t="inlineStr">
        <is>
          <t>Sí (_1/_2)</t>
        </is>
      </c>
      <c r="E115" s="35" t="inlineStr">
        <is>
          <t>Estándar CO0xxx</t>
        </is>
      </c>
    </row>
    <row r="116">
      <c r="A116" s="36" t="inlineStr">
        <is>
          <t>NOTE_CO0100004572_1272087452_1</t>
        </is>
      </c>
      <c r="B116" s="37" t="inlineStr">
        <is>
          <t>NOTE</t>
        </is>
      </c>
      <c r="C116" s="28" t="inlineStr">
        <is>
          <t>CO0100004572</t>
        </is>
      </c>
      <c r="D116" s="42" t="inlineStr">
        <is>
          <t>Sí (_1/_2)</t>
        </is>
      </c>
      <c r="E116" s="38" t="inlineStr">
        <is>
          <t>Estándar CO0xxx</t>
        </is>
      </c>
    </row>
    <row r="117">
      <c r="A117" s="33" t="inlineStr">
        <is>
          <t>NOTE_CO0100004688_1268617109_1</t>
        </is>
      </c>
      <c r="B117" s="34" t="inlineStr">
        <is>
          <t>NOTE</t>
        </is>
      </c>
      <c r="C117" s="31" t="inlineStr">
        <is>
          <t>CO0100004688</t>
        </is>
      </c>
      <c r="D117" s="41" t="inlineStr">
        <is>
          <t>Sí (_1/_2)</t>
        </is>
      </c>
      <c r="E117" s="35" t="inlineStr">
        <is>
          <t>Estándar CO0xxx</t>
        </is>
      </c>
    </row>
    <row r="118">
      <c r="A118" s="36" t="inlineStr">
        <is>
          <t>NOTE_CO0100005186_1268719236_1</t>
        </is>
      </c>
      <c r="B118" s="37" t="inlineStr">
        <is>
          <t>NOTE</t>
        </is>
      </c>
      <c r="C118" s="28" t="inlineStr">
        <is>
          <t>CO0100005186</t>
        </is>
      </c>
      <c r="D118" s="42" t="inlineStr">
        <is>
          <t>Sí (_1/_2)</t>
        </is>
      </c>
      <c r="E118" s="38" t="inlineStr">
        <is>
          <t>Estándar CO0xxx</t>
        </is>
      </c>
    </row>
    <row r="119">
      <c r="A119" s="33" t="inlineStr">
        <is>
          <t>NOTE_CO0100005560_1259364183_1</t>
        </is>
      </c>
      <c r="B119" s="34" t="inlineStr">
        <is>
          <t>NOTE</t>
        </is>
      </c>
      <c r="C119" s="31" t="inlineStr">
        <is>
          <t>CO0100005560</t>
        </is>
      </c>
      <c r="D119" s="41" t="inlineStr">
        <is>
          <t>Sí (_1/_2)</t>
        </is>
      </c>
      <c r="E119" s="35" t="inlineStr">
        <is>
          <t>Estándar CO0xxx</t>
        </is>
      </c>
    </row>
    <row r="120">
      <c r="A120" s="36" t="inlineStr">
        <is>
          <t>NOTE_CO0100005570_1259363395_1</t>
        </is>
      </c>
      <c r="B120" s="37" t="inlineStr">
        <is>
          <t>NOTE</t>
        </is>
      </c>
      <c r="C120" s="28" t="inlineStr">
        <is>
          <t>CO0100005570</t>
        </is>
      </c>
      <c r="D120" s="42" t="inlineStr">
        <is>
          <t>Sí (_1/_2)</t>
        </is>
      </c>
      <c r="E120" s="38" t="inlineStr">
        <is>
          <t>Estándar CO0xxx</t>
        </is>
      </c>
    </row>
    <row r="121">
      <c r="A121" s="33" t="inlineStr">
        <is>
          <t>NOTE_CO0100005572_1248330059</t>
        </is>
      </c>
      <c r="B121" s="34" t="inlineStr">
        <is>
          <t>NOTE</t>
        </is>
      </c>
      <c r="C121" s="31" t="inlineStr">
        <is>
          <t>CO0100005572</t>
        </is>
      </c>
      <c r="D121" s="35" t="inlineStr">
        <is>
          <t>No</t>
        </is>
      </c>
      <c r="E121" s="35" t="inlineStr">
        <is>
          <t>Estándar CO0xxx</t>
        </is>
      </c>
    </row>
    <row r="122">
      <c r="A122" s="36" t="inlineStr">
        <is>
          <t>NOTE_CO0100005573_1259363928_1</t>
        </is>
      </c>
      <c r="B122" s="37" t="inlineStr">
        <is>
          <t>NOTE</t>
        </is>
      </c>
      <c r="C122" s="28" t="inlineStr">
        <is>
          <t>CO0100005573</t>
        </is>
      </c>
      <c r="D122" s="42" t="inlineStr">
        <is>
          <t>Sí (_1/_2)</t>
        </is>
      </c>
      <c r="E122" s="38" t="inlineStr">
        <is>
          <t>Estándar CO0xxx</t>
        </is>
      </c>
    </row>
    <row r="123">
      <c r="A123" s="33" t="inlineStr">
        <is>
          <t>NOTE_CO0100005574_1251233601</t>
        </is>
      </c>
      <c r="B123" s="34" t="inlineStr">
        <is>
          <t>NOTE</t>
        </is>
      </c>
      <c r="C123" s="31" t="inlineStr">
        <is>
          <t>CO0100005574</t>
        </is>
      </c>
      <c r="D123" s="35" t="inlineStr">
        <is>
          <t>No</t>
        </is>
      </c>
      <c r="E123" s="35" t="inlineStr">
        <is>
          <t>Estándar CO0xxx</t>
        </is>
      </c>
    </row>
    <row r="124">
      <c r="A124" s="36" t="inlineStr">
        <is>
          <t>NOTE_CO0100005574_1258659689_1</t>
        </is>
      </c>
      <c r="B124" s="37" t="inlineStr">
        <is>
          <t>NOTE</t>
        </is>
      </c>
      <c r="C124" s="28" t="inlineStr">
        <is>
          <t>CO0100005574</t>
        </is>
      </c>
      <c r="D124" s="42" t="inlineStr">
        <is>
          <t>Sí (_1/_2)</t>
        </is>
      </c>
      <c r="E124" s="38" t="inlineStr">
        <is>
          <t>Estándar CO0xxx</t>
        </is>
      </c>
    </row>
    <row r="125">
      <c r="A125" s="33" t="inlineStr">
        <is>
          <t>NOTE_CO0100005585_1256502331</t>
        </is>
      </c>
      <c r="B125" s="34" t="inlineStr">
        <is>
          <t>NOTE</t>
        </is>
      </c>
      <c r="C125" s="31" t="inlineStr">
        <is>
          <t>CO0100005585</t>
        </is>
      </c>
      <c r="D125" s="35" t="inlineStr">
        <is>
          <t>No</t>
        </is>
      </c>
      <c r="E125" s="35" t="inlineStr">
        <is>
          <t>Estándar CO0xxx</t>
        </is>
      </c>
    </row>
    <row r="126">
      <c r="A126" s="36" t="inlineStr">
        <is>
          <t>NOTE_CO0100005598_1268531563_1</t>
        </is>
      </c>
      <c r="B126" s="37" t="inlineStr">
        <is>
          <t>NOTE</t>
        </is>
      </c>
      <c r="C126" s="28" t="inlineStr">
        <is>
          <t>CO0100005598</t>
        </is>
      </c>
      <c r="D126" s="42" t="inlineStr">
        <is>
          <t>Sí (_1/_2)</t>
        </is>
      </c>
      <c r="E126" s="38" t="inlineStr">
        <is>
          <t>Estándar CO0xxx</t>
        </is>
      </c>
    </row>
    <row r="127">
      <c r="A127" s="33" t="inlineStr">
        <is>
          <t>NOTE_CO0100005599_1256500329</t>
        </is>
      </c>
      <c r="B127" s="34" t="inlineStr">
        <is>
          <t>NOTE</t>
        </is>
      </c>
      <c r="C127" s="31" t="inlineStr">
        <is>
          <t>CO0100005599</t>
        </is>
      </c>
      <c r="D127" s="35" t="inlineStr">
        <is>
          <t>No</t>
        </is>
      </c>
      <c r="E127" s="35" t="inlineStr">
        <is>
          <t>Estándar CO0xxx</t>
        </is>
      </c>
    </row>
    <row r="128">
      <c r="A128" s="36" t="inlineStr">
        <is>
          <t>NOTE_CO0100005749_1260886171_1</t>
        </is>
      </c>
      <c r="B128" s="37" t="inlineStr">
        <is>
          <t>NOTE</t>
        </is>
      </c>
      <c r="C128" s="28" t="inlineStr">
        <is>
          <t>CO0100005749</t>
        </is>
      </c>
      <c r="D128" s="42" t="inlineStr">
        <is>
          <t>Sí (_1/_2)</t>
        </is>
      </c>
      <c r="E128" s="38" t="inlineStr">
        <is>
          <t>Estándar CO0xxx</t>
        </is>
      </c>
    </row>
    <row r="129">
      <c r="A129" s="33" t="inlineStr">
        <is>
          <t>NOTE_CO0100006068_1268699461_1</t>
        </is>
      </c>
      <c r="B129" s="34" t="inlineStr">
        <is>
          <t>NOTE</t>
        </is>
      </c>
      <c r="C129" s="31" t="inlineStr">
        <is>
          <t>CO0100006068</t>
        </is>
      </c>
      <c r="D129" s="41" t="inlineStr">
        <is>
          <t>Sí (_1/_2)</t>
        </is>
      </c>
      <c r="E129" s="35" t="inlineStr">
        <is>
          <t>Estándar CO0xxx</t>
        </is>
      </c>
    </row>
    <row r="130">
      <c r="A130" s="36" t="inlineStr">
        <is>
          <t>NOTE_CO0100006341_1262442470_1</t>
        </is>
      </c>
      <c r="B130" s="37" t="inlineStr">
        <is>
          <t>NOTE</t>
        </is>
      </c>
      <c r="C130" s="28" t="inlineStr">
        <is>
          <t>CO0100006341</t>
        </is>
      </c>
      <c r="D130" s="42" t="inlineStr">
        <is>
          <t>Sí (_1/_2)</t>
        </is>
      </c>
      <c r="E130" s="38" t="inlineStr">
        <is>
          <t>Estándar CO0xxx</t>
        </is>
      </c>
    </row>
    <row r="131">
      <c r="A131" s="33" t="inlineStr">
        <is>
          <t>NOTE_CO0100006387_1269058091_1</t>
        </is>
      </c>
      <c r="B131" s="34" t="inlineStr">
        <is>
          <t>NOTE</t>
        </is>
      </c>
      <c r="C131" s="31" t="inlineStr">
        <is>
          <t>CO0100006387</t>
        </is>
      </c>
      <c r="D131" s="41" t="inlineStr">
        <is>
          <t>Sí (_1/_2)</t>
        </is>
      </c>
      <c r="E131" s="35" t="inlineStr">
        <is>
          <t>Estándar CO0xxx</t>
        </is>
      </c>
    </row>
    <row r="132">
      <c r="A132" s="36" t="inlineStr">
        <is>
          <t>NOTE_CO0100006488_1327363541_1</t>
        </is>
      </c>
      <c r="B132" s="37" t="inlineStr">
        <is>
          <t>NOTE</t>
        </is>
      </c>
      <c r="C132" s="28" t="inlineStr">
        <is>
          <t>CO0100006488</t>
        </is>
      </c>
      <c r="D132" s="42" t="inlineStr">
        <is>
          <t>Sí (_1/_2)</t>
        </is>
      </c>
      <c r="E132" s="38" t="inlineStr">
        <is>
          <t>Estándar CO0xxx</t>
        </is>
      </c>
    </row>
    <row r="133">
      <c r="A133" s="33" t="inlineStr">
        <is>
          <t>NOTE_CO0400000053_1258001581_1</t>
        </is>
      </c>
      <c r="B133" s="34" t="inlineStr">
        <is>
          <t>NOTE</t>
        </is>
      </c>
      <c r="C133" s="31" t="inlineStr">
        <is>
          <t>CO0400000053</t>
        </is>
      </c>
      <c r="D133" s="41" t="inlineStr">
        <is>
          <t>Sí (_1/_2)</t>
        </is>
      </c>
      <c r="E133" s="35" t="inlineStr">
        <is>
          <t>Estándar CO0xxx</t>
        </is>
      </c>
    </row>
    <row r="134">
      <c r="A134" s="36" t="inlineStr">
        <is>
          <t>NOTE_CO0400000053_1264621269_1</t>
        </is>
      </c>
      <c r="B134" s="37" t="inlineStr">
        <is>
          <t>NOTE</t>
        </is>
      </c>
      <c r="C134" s="28" t="inlineStr">
        <is>
          <t>CO0400000053</t>
        </is>
      </c>
      <c r="D134" s="42" t="inlineStr">
        <is>
          <t>Sí (_1/_2)</t>
        </is>
      </c>
      <c r="E134" s="38" t="inlineStr">
        <is>
          <t>Estándar CO0xxx</t>
        </is>
      </c>
    </row>
    <row r="135">
      <c r="A135" s="33" t="inlineStr">
        <is>
          <t>NOTE_CO0400000053_1272498914_1</t>
        </is>
      </c>
      <c r="B135" s="34" t="inlineStr">
        <is>
          <t>NOTE</t>
        </is>
      </c>
      <c r="C135" s="31" t="inlineStr">
        <is>
          <t>CO0400000053</t>
        </is>
      </c>
      <c r="D135" s="41" t="inlineStr">
        <is>
          <t>Sí (_1/_2)</t>
        </is>
      </c>
      <c r="E135" s="35" t="inlineStr">
        <is>
          <t>Estándar CO0xxx</t>
        </is>
      </c>
    </row>
    <row r="136">
      <c r="A136" s="36" t="inlineStr">
        <is>
          <t>NOTE_CO0400000056_1264738990_1</t>
        </is>
      </c>
      <c r="B136" s="37" t="inlineStr">
        <is>
          <t>NOTE</t>
        </is>
      </c>
      <c r="C136" s="28" t="inlineStr">
        <is>
          <t>CO0400000056</t>
        </is>
      </c>
      <c r="D136" s="42" t="inlineStr">
        <is>
          <t>Sí (_1/_2)</t>
        </is>
      </c>
      <c r="E136" s="38" t="inlineStr">
        <is>
          <t>Estándar CO0xxx</t>
        </is>
      </c>
    </row>
    <row r="137">
      <c r="A137" s="33" t="inlineStr">
        <is>
          <t>NOTE_CO0400000057_1258783253_1</t>
        </is>
      </c>
      <c r="B137" s="34" t="inlineStr">
        <is>
          <t>NOTE</t>
        </is>
      </c>
      <c r="C137" s="31" t="inlineStr">
        <is>
          <t>CO0400000057</t>
        </is>
      </c>
      <c r="D137" s="41" t="inlineStr">
        <is>
          <t>Sí (_1/_2)</t>
        </is>
      </c>
      <c r="E137" s="35" t="inlineStr">
        <is>
          <t>Estándar CO0xxx</t>
        </is>
      </c>
    </row>
    <row r="138">
      <c r="A138" s="36" t="inlineStr">
        <is>
          <t>NOTE_CO0400000057_1264733780_1</t>
        </is>
      </c>
      <c r="B138" s="37" t="inlineStr">
        <is>
          <t>NOTE</t>
        </is>
      </c>
      <c r="C138" s="28" t="inlineStr">
        <is>
          <t>CO0400000057</t>
        </is>
      </c>
      <c r="D138" s="42" t="inlineStr">
        <is>
          <t>Sí (_1/_2)</t>
        </is>
      </c>
      <c r="E138" s="38" t="inlineStr">
        <is>
          <t>Estándar CO0xxx</t>
        </is>
      </c>
    </row>
    <row r="139">
      <c r="A139" s="33" t="inlineStr">
        <is>
          <t>NOTE_CO0400000060_1258002407_1</t>
        </is>
      </c>
      <c r="B139" s="34" t="inlineStr">
        <is>
          <t>NOTE</t>
        </is>
      </c>
      <c r="C139" s="31" t="inlineStr">
        <is>
          <t>CO0400000060</t>
        </is>
      </c>
      <c r="D139" s="41" t="inlineStr">
        <is>
          <t>Sí (_1/_2)</t>
        </is>
      </c>
      <c r="E139" s="35" t="inlineStr">
        <is>
          <t>Estándar CO0xxx</t>
        </is>
      </c>
    </row>
    <row r="140">
      <c r="A140" s="36" t="inlineStr">
        <is>
          <t>NOTE_CO0400000114_1261794345_1</t>
        </is>
      </c>
      <c r="B140" s="37" t="inlineStr">
        <is>
          <t>NOTE</t>
        </is>
      </c>
      <c r="C140" s="28" t="inlineStr">
        <is>
          <t>CO0400000114</t>
        </is>
      </c>
      <c r="D140" s="42" t="inlineStr">
        <is>
          <t>Sí (_1/_2)</t>
        </is>
      </c>
      <c r="E140" s="38" t="inlineStr">
        <is>
          <t>Estándar CO0xxx</t>
        </is>
      </c>
    </row>
    <row r="141">
      <c r="A141" s="33" t="inlineStr">
        <is>
          <t>NOTE_CO0400001373_1266204385_1</t>
        </is>
      </c>
      <c r="B141" s="34" t="inlineStr">
        <is>
          <t>NOTE</t>
        </is>
      </c>
      <c r="C141" s="31" t="inlineStr">
        <is>
          <t>CO0400001373</t>
        </is>
      </c>
      <c r="D141" s="41" t="inlineStr">
        <is>
          <t>Sí (_1/_2)</t>
        </is>
      </c>
      <c r="E141" s="35" t="inlineStr">
        <is>
          <t>Estándar CO0xxx</t>
        </is>
      </c>
    </row>
    <row r="142">
      <c r="A142" s="36" t="inlineStr">
        <is>
          <t>NOTE_CO0400002519_1268256627_1</t>
        </is>
      </c>
      <c r="B142" s="37" t="inlineStr">
        <is>
          <t>NOTE</t>
        </is>
      </c>
      <c r="C142" s="28" t="inlineStr">
        <is>
          <t>CO0400002519</t>
        </is>
      </c>
      <c r="D142" s="42" t="inlineStr">
        <is>
          <t>Sí (_1/_2)</t>
        </is>
      </c>
      <c r="E142" s="38" t="inlineStr">
        <is>
          <t>Estándar CO0xxx</t>
        </is>
      </c>
    </row>
    <row r="143">
      <c r="A143" s="33" t="inlineStr">
        <is>
          <t>NOTE_CO0400002745_1258678907_1</t>
        </is>
      </c>
      <c r="B143" s="34" t="inlineStr">
        <is>
          <t>NOTE</t>
        </is>
      </c>
      <c r="C143" s="31" t="inlineStr">
        <is>
          <t>CO0400002745</t>
        </is>
      </c>
      <c r="D143" s="41" t="inlineStr">
        <is>
          <t>Sí (_1/_2)</t>
        </is>
      </c>
      <c r="E143" s="35" t="inlineStr">
        <is>
          <t>Estándar CO0xxx</t>
        </is>
      </c>
    </row>
    <row r="144">
      <c r="A144" s="36" t="inlineStr">
        <is>
          <t>NOTE_CO0400004469_1272032069_1</t>
        </is>
      </c>
      <c r="B144" s="37" t="inlineStr">
        <is>
          <t>NOTE</t>
        </is>
      </c>
      <c r="C144" s="28" t="inlineStr">
        <is>
          <t>CO0400004469</t>
        </is>
      </c>
      <c r="D144" s="42" t="inlineStr">
        <is>
          <t>Sí (_1/_2)</t>
        </is>
      </c>
      <c r="E144" s="38" t="inlineStr">
        <is>
          <t>Estándar CO0xxx</t>
        </is>
      </c>
    </row>
    <row r="145">
      <c r="A145" s="33" t="inlineStr">
        <is>
          <t>NOTE_CO0400004893_1257423557</t>
        </is>
      </c>
      <c r="B145" s="34" t="inlineStr">
        <is>
          <t>NOTE</t>
        </is>
      </c>
      <c r="C145" s="31" t="inlineStr">
        <is>
          <t>CO0400004893</t>
        </is>
      </c>
      <c r="D145" s="35" t="inlineStr">
        <is>
          <t>No</t>
        </is>
      </c>
      <c r="E145" s="35" t="inlineStr">
        <is>
          <t>Estándar CO0xxx</t>
        </is>
      </c>
    </row>
    <row r="146">
      <c r="A146" s="36" t="inlineStr">
        <is>
          <t>NOTE_CO0400005807_1266217439_1</t>
        </is>
      </c>
      <c r="B146" s="37" t="inlineStr">
        <is>
          <t>NOTE</t>
        </is>
      </c>
      <c r="C146" s="28" t="inlineStr">
        <is>
          <t>CO0400005807</t>
        </is>
      </c>
      <c r="D146" s="42" t="inlineStr">
        <is>
          <t>Sí (_1/_2)</t>
        </is>
      </c>
      <c r="E146" s="38" t="inlineStr">
        <is>
          <t>Estándar CO0xxx</t>
        </is>
      </c>
    </row>
    <row r="147">
      <c r="A147" s="33" t="inlineStr">
        <is>
          <t>NOTE_CO0400006329_1264652292_1</t>
        </is>
      </c>
      <c r="B147" s="34" t="inlineStr">
        <is>
          <t>NOTE</t>
        </is>
      </c>
      <c r="C147" s="31" t="inlineStr">
        <is>
          <t>CO0400006329</t>
        </is>
      </c>
      <c r="D147" s="41" t="inlineStr">
        <is>
          <t>Sí (_1/_2)</t>
        </is>
      </c>
      <c r="E147" s="35" t="inlineStr">
        <is>
          <t>Estándar CO0xxx</t>
        </is>
      </c>
    </row>
    <row r="148">
      <c r="A148" s="36" t="inlineStr">
        <is>
          <t>NOTE_CO0500001009_1266214703_1</t>
        </is>
      </c>
      <c r="B148" s="37" t="inlineStr">
        <is>
          <t>NOTE</t>
        </is>
      </c>
      <c r="C148" s="28" t="inlineStr">
        <is>
          <t>CO0500001009</t>
        </is>
      </c>
      <c r="D148" s="42" t="inlineStr">
        <is>
          <t>Sí (_1/_2)</t>
        </is>
      </c>
      <c r="E148" s="38" t="inlineStr">
        <is>
          <t>Estándar CO0xxx</t>
        </is>
      </c>
    </row>
    <row r="149">
      <c r="A149" s="33" t="inlineStr">
        <is>
          <t>NOTE_CO0500001010_1262714482_1</t>
        </is>
      </c>
      <c r="B149" s="34" t="inlineStr">
        <is>
          <t>NOTE</t>
        </is>
      </c>
      <c r="C149" s="31" t="inlineStr">
        <is>
          <t>CO0500001010</t>
        </is>
      </c>
      <c r="D149" s="41" t="inlineStr">
        <is>
          <t>Sí (_1/_2)</t>
        </is>
      </c>
      <c r="E149" s="35" t="inlineStr">
        <is>
          <t>Estándar CO0xxx</t>
        </is>
      </c>
    </row>
    <row r="150">
      <c r="A150" s="36" t="inlineStr">
        <is>
          <t>NOTE_CO0500002667_1271284780_1</t>
        </is>
      </c>
      <c r="B150" s="37" t="inlineStr">
        <is>
          <t>NOTE</t>
        </is>
      </c>
      <c r="C150" s="28" t="inlineStr">
        <is>
          <t>CO0500002667</t>
        </is>
      </c>
      <c r="D150" s="42" t="inlineStr">
        <is>
          <t>Sí (_1/_2)</t>
        </is>
      </c>
      <c r="E150" s="38" t="inlineStr">
        <is>
          <t>Estándar CO0xxx</t>
        </is>
      </c>
    </row>
    <row r="151">
      <c r="A151" s="33" t="inlineStr">
        <is>
          <t>NOTE_CO0500002669_1253933485</t>
        </is>
      </c>
      <c r="B151" s="34" t="inlineStr">
        <is>
          <t>NOTE</t>
        </is>
      </c>
      <c r="C151" s="31" t="inlineStr">
        <is>
          <t>CO0500002669</t>
        </is>
      </c>
      <c r="D151" s="35" t="inlineStr">
        <is>
          <t>No</t>
        </is>
      </c>
      <c r="E151" s="35" t="inlineStr">
        <is>
          <t>Estándar CO0xxx</t>
        </is>
      </c>
    </row>
    <row r="152">
      <c r="A152" s="36" t="inlineStr">
        <is>
          <t>NOTE_CO0500003187_1260010102_1</t>
        </is>
      </c>
      <c r="B152" s="37" t="inlineStr">
        <is>
          <t>NOTE</t>
        </is>
      </c>
      <c r="C152" s="28" t="inlineStr">
        <is>
          <t>CO0500003187</t>
        </is>
      </c>
      <c r="D152" s="42" t="inlineStr">
        <is>
          <t>Sí (_1/_2)</t>
        </is>
      </c>
      <c r="E152" s="38" t="inlineStr">
        <is>
          <t>Estándar CO0xxx</t>
        </is>
      </c>
    </row>
    <row r="153">
      <c r="A153" s="33" t="inlineStr">
        <is>
          <t>NOTE_CO0500003278_1267238480_1</t>
        </is>
      </c>
      <c r="B153" s="34" t="inlineStr">
        <is>
          <t>NOTE</t>
        </is>
      </c>
      <c r="C153" s="31" t="inlineStr">
        <is>
          <t>CO0500003278</t>
        </is>
      </c>
      <c r="D153" s="41" t="inlineStr">
        <is>
          <t>Sí (_1/_2)</t>
        </is>
      </c>
      <c r="E153" s="35" t="inlineStr">
        <is>
          <t>Estándar CO0xxx</t>
        </is>
      </c>
    </row>
    <row r="154">
      <c r="A154" s="36" t="inlineStr">
        <is>
          <t>NOTE_CO0500003278_1274248227_1</t>
        </is>
      </c>
      <c r="B154" s="37" t="inlineStr">
        <is>
          <t>NOTE</t>
        </is>
      </c>
      <c r="C154" s="28" t="inlineStr">
        <is>
          <t>CO0500003278</t>
        </is>
      </c>
      <c r="D154" s="42" t="inlineStr">
        <is>
          <t>Sí (_1/_2)</t>
        </is>
      </c>
      <c r="E154" s="38" t="inlineStr">
        <is>
          <t>Estándar CO0xxx</t>
        </is>
      </c>
    </row>
    <row r="155">
      <c r="A155" s="33" t="inlineStr">
        <is>
          <t>NOTE_CO0500003393_1256961846</t>
        </is>
      </c>
      <c r="B155" s="34" t="inlineStr">
        <is>
          <t>NOTE</t>
        </is>
      </c>
      <c r="C155" s="31" t="inlineStr">
        <is>
          <t>CO0500003393</t>
        </is>
      </c>
      <c r="D155" s="35" t="inlineStr">
        <is>
          <t>No</t>
        </is>
      </c>
      <c r="E155" s="35" t="inlineStr">
        <is>
          <t>Estándar CO0xxx</t>
        </is>
      </c>
    </row>
    <row r="156">
      <c r="A156" s="36" t="inlineStr">
        <is>
          <t>NOTE_CO0500003399_1256586111</t>
        </is>
      </c>
      <c r="B156" s="37" t="inlineStr">
        <is>
          <t>NOTE</t>
        </is>
      </c>
      <c r="C156" s="28" t="inlineStr">
        <is>
          <t>CO0500003399</t>
        </is>
      </c>
      <c r="D156" s="38" t="inlineStr">
        <is>
          <t>No</t>
        </is>
      </c>
      <c r="E156" s="38" t="inlineStr">
        <is>
          <t>Estándar CO0xxx</t>
        </is>
      </c>
    </row>
    <row r="157">
      <c r="A157" s="33" t="inlineStr">
        <is>
          <t>NOTE_CO0500005213_1268538261_1</t>
        </is>
      </c>
      <c r="B157" s="34" t="inlineStr">
        <is>
          <t>NOTE</t>
        </is>
      </c>
      <c r="C157" s="31" t="inlineStr">
        <is>
          <t>CO0500005213</t>
        </is>
      </c>
      <c r="D157" s="41" t="inlineStr">
        <is>
          <t>Sí (_1/_2)</t>
        </is>
      </c>
      <c r="E157" s="35" t="inlineStr">
        <is>
          <t>Estándar CO0xxx</t>
        </is>
      </c>
    </row>
    <row r="158">
      <c r="A158" s="36" t="inlineStr">
        <is>
          <t>NOTE_CO0500005471_1268732699_1</t>
        </is>
      </c>
      <c r="B158" s="37" t="inlineStr">
        <is>
          <t>NOTE</t>
        </is>
      </c>
      <c r="C158" s="28" t="inlineStr">
        <is>
          <t>CO0500005471</t>
        </is>
      </c>
      <c r="D158" s="42" t="inlineStr">
        <is>
          <t>Sí (_1/_2)</t>
        </is>
      </c>
      <c r="E158" s="38" t="inlineStr">
        <is>
          <t>Estándar CO0xxx</t>
        </is>
      </c>
    </row>
    <row r="159">
      <c r="A159" s="33" t="inlineStr">
        <is>
          <t>NOTE_CO0500005483_1269243760_1</t>
        </is>
      </c>
      <c r="B159" s="34" t="inlineStr">
        <is>
          <t>NOTE</t>
        </is>
      </c>
      <c r="C159" s="31" t="inlineStr">
        <is>
          <t>CO0500005483</t>
        </is>
      </c>
      <c r="D159" s="41" t="inlineStr">
        <is>
          <t>Sí (_1/_2)</t>
        </is>
      </c>
      <c r="E159" s="35" t="inlineStr">
        <is>
          <t>Estándar CO0xxx</t>
        </is>
      </c>
    </row>
    <row r="160">
      <c r="A160" s="36" t="inlineStr">
        <is>
          <t>NOTE_CO1130000279_1259763170_1</t>
        </is>
      </c>
      <c r="B160" s="37" t="inlineStr">
        <is>
          <t>NOTE</t>
        </is>
      </c>
      <c r="C160" s="28" t="inlineStr">
        <is>
          <t>CO1130000279</t>
        </is>
      </c>
      <c r="D160" s="42" t="inlineStr">
        <is>
          <t>Sí (_1/_2)</t>
        </is>
      </c>
      <c r="E160" s="40" t="inlineStr">
        <is>
          <t>⚠️ No estándar</t>
        </is>
      </c>
    </row>
    <row r="161">
      <c r="A161" s="33" t="inlineStr">
        <is>
          <t>NOTE_CO1150000310_1260986756_1</t>
        </is>
      </c>
      <c r="B161" s="34" t="inlineStr">
        <is>
          <t>NOTE</t>
        </is>
      </c>
      <c r="C161" s="31" t="inlineStr">
        <is>
          <t>CO1150000310</t>
        </is>
      </c>
      <c r="D161" s="41" t="inlineStr">
        <is>
          <t>Sí (_1/_2)</t>
        </is>
      </c>
      <c r="E161" s="39" t="inlineStr">
        <is>
          <t>⚠️ No estándar</t>
        </is>
      </c>
    </row>
    <row r="162">
      <c r="A162" s="36" t="inlineStr">
        <is>
          <t>NOTE_CO1310000288_1258632884</t>
        </is>
      </c>
      <c r="B162" s="37" t="inlineStr">
        <is>
          <t>NOTE</t>
        </is>
      </c>
      <c r="C162" s="28" t="inlineStr">
        <is>
          <t>CO1310000288</t>
        </is>
      </c>
      <c r="D162" s="38" t="inlineStr">
        <is>
          <t>No</t>
        </is>
      </c>
      <c r="E162" s="40" t="inlineStr">
        <is>
          <t>⚠️ No estándar</t>
        </is>
      </c>
    </row>
    <row r="163">
      <c r="A163" s="33" t="inlineStr">
        <is>
          <t>NOTE_CO1310000288_1268511773_1</t>
        </is>
      </c>
      <c r="B163" s="34" t="inlineStr">
        <is>
          <t>NOTE</t>
        </is>
      </c>
      <c r="C163" s="31" t="inlineStr">
        <is>
          <t>CO1310000288</t>
        </is>
      </c>
      <c r="D163" s="41" t="inlineStr">
        <is>
          <t>Sí (_1/_2)</t>
        </is>
      </c>
      <c r="E163" s="39" t="inlineStr">
        <is>
          <t>⚠️ No estándar</t>
        </is>
      </c>
    </row>
    <row r="164">
      <c r="A164" s="36" t="inlineStr">
        <is>
          <t>NOTE_CO1370000192_1247167064</t>
        </is>
      </c>
      <c r="B164" s="37" t="inlineStr">
        <is>
          <t>NOTE</t>
        </is>
      </c>
      <c r="C164" s="28" t="inlineStr">
        <is>
          <t>CO1370000192</t>
        </is>
      </c>
      <c r="D164" s="38" t="inlineStr">
        <is>
          <t>No</t>
        </is>
      </c>
      <c r="E164" s="40" t="inlineStr">
        <is>
          <t>⚠️ No estándar</t>
        </is>
      </c>
    </row>
    <row r="165">
      <c r="A165" s="33" t="inlineStr">
        <is>
          <t>NOTE_CO2530000191_1249651387</t>
        </is>
      </c>
      <c r="B165" s="34" t="inlineStr">
        <is>
          <t>NOTE</t>
        </is>
      </c>
      <c r="C165" s="31" t="inlineStr">
        <is>
          <t>CO2530000191</t>
        </is>
      </c>
      <c r="D165" s="35" t="inlineStr">
        <is>
          <t>No</t>
        </is>
      </c>
      <c r="E165" s="39" t="inlineStr">
        <is>
          <t>⚠️ No estándar</t>
        </is>
      </c>
    </row>
    <row r="166">
      <c r="A166" s="36" t="inlineStr">
        <is>
          <t>PQRS_CO0100003074_1253521666</t>
        </is>
      </c>
      <c r="B166" s="37" t="inlineStr">
        <is>
          <t>PQRS</t>
        </is>
      </c>
      <c r="C166" s="28" t="inlineStr">
        <is>
          <t>CO0100003074</t>
        </is>
      </c>
      <c r="D166" s="38" t="inlineStr">
        <is>
          <t>No</t>
        </is>
      </c>
      <c r="E166" s="38" t="inlineStr">
        <is>
          <t>Estándar CO0xxx</t>
        </is>
      </c>
    </row>
    <row r="167">
      <c r="A167" s="33" t="inlineStr">
        <is>
          <t>PQRS_CO0500005978_1269010741_1</t>
        </is>
      </c>
      <c r="B167" s="34" t="inlineStr">
        <is>
          <t>PQRS</t>
        </is>
      </c>
      <c r="C167" s="31" t="inlineStr">
        <is>
          <t>CO0500005978</t>
        </is>
      </c>
      <c r="D167" s="41" t="inlineStr">
        <is>
          <t>Sí (_1/_2)</t>
        </is>
      </c>
      <c r="E167" s="35" t="inlineStr">
        <is>
          <t>Estándar CO0xxx</t>
        </is>
      </c>
    </row>
    <row r="168">
      <c r="A168" s="36" t="inlineStr">
        <is>
          <t>PREB_CO0400002518_1257184581</t>
        </is>
      </c>
      <c r="B168" s="37" t="inlineStr">
        <is>
          <t>PREB</t>
        </is>
      </c>
      <c r="C168" s="28" t="inlineStr">
        <is>
          <t>CO0400002518</t>
        </is>
      </c>
      <c r="D168" s="38" t="inlineStr">
        <is>
          <t>No</t>
        </is>
      </c>
      <c r="E168" s="38" t="inlineStr">
        <is>
          <t>Estándar CO0xxx</t>
        </is>
      </c>
    </row>
    <row r="169">
      <c r="A169" s="33" t="inlineStr">
        <is>
          <t>PREB_CO0400005442_1250256876</t>
        </is>
      </c>
      <c r="B169" s="34" t="inlineStr">
        <is>
          <t>PREB</t>
        </is>
      </c>
      <c r="C169" s="31" t="inlineStr">
        <is>
          <t>CO0400005442</t>
        </is>
      </c>
      <c r="D169" s="35" t="inlineStr">
        <is>
          <t>No</t>
        </is>
      </c>
      <c r="E169" s="35" t="inlineStr">
        <is>
          <t>Estándar CO0xxx</t>
        </is>
      </c>
    </row>
    <row r="170">
      <c r="A170" s="36" t="inlineStr">
        <is>
          <t>RDEP_CO0100004050_1258047674</t>
        </is>
      </c>
      <c r="B170" s="37" t="inlineStr">
        <is>
          <t>RDEP</t>
        </is>
      </c>
      <c r="C170" s="28" t="inlineStr">
        <is>
          <t>CO0100004050</t>
        </is>
      </c>
      <c r="D170" s="38" t="inlineStr">
        <is>
          <t>No</t>
        </is>
      </c>
      <c r="E170" s="38" t="inlineStr">
        <is>
          <t>Estándar CO0xxx</t>
        </is>
      </c>
    </row>
    <row r="171">
      <c r="A171" s="33" t="inlineStr">
        <is>
          <t>REBI_CO0100005449_1252962041</t>
        </is>
      </c>
      <c r="B171" s="34" t="inlineStr">
        <is>
          <t>REBI</t>
        </is>
      </c>
      <c r="C171" s="31" t="inlineStr">
        <is>
          <t>CO0100005449</t>
        </is>
      </c>
      <c r="D171" s="35" t="inlineStr">
        <is>
          <t>No</t>
        </is>
      </c>
      <c r="E171" s="35" t="inlineStr">
        <is>
          <t>Estándar CO0xxx</t>
        </is>
      </c>
    </row>
    <row r="172">
      <c r="A172" s="36" t="inlineStr">
        <is>
          <t>RECX_CO0100000782_1250179340</t>
        </is>
      </c>
      <c r="B172" s="37" t="inlineStr">
        <is>
          <t>RECX</t>
        </is>
      </c>
      <c r="C172" s="28" t="inlineStr">
        <is>
          <t>CO0100000782</t>
        </is>
      </c>
      <c r="D172" s="38" t="inlineStr">
        <is>
          <t>No</t>
        </is>
      </c>
      <c r="E172" s="38" t="inlineStr">
        <is>
          <t>Estándar CO0xxx</t>
        </is>
      </c>
    </row>
    <row r="173">
      <c r="A173" s="33" t="inlineStr">
        <is>
          <t>RECX_CO0100000782_1260590848_1</t>
        </is>
      </c>
      <c r="B173" s="34" t="inlineStr">
        <is>
          <t>RECX</t>
        </is>
      </c>
      <c r="C173" s="31" t="inlineStr">
        <is>
          <t>CO0100000782</t>
        </is>
      </c>
      <c r="D173" s="41" t="inlineStr">
        <is>
          <t>Sí (_1/_2)</t>
        </is>
      </c>
      <c r="E173" s="35" t="inlineStr">
        <is>
          <t>Estándar CO0xxx</t>
        </is>
      </c>
    </row>
    <row r="174">
      <c r="A174" s="36" t="inlineStr">
        <is>
          <t>RECX_CO0100003624_1258882127_1</t>
        </is>
      </c>
      <c r="B174" s="37" t="inlineStr">
        <is>
          <t>RECX</t>
        </is>
      </c>
      <c r="C174" s="28" t="inlineStr">
        <is>
          <t>CO0100003624</t>
        </is>
      </c>
      <c r="D174" s="42" t="inlineStr">
        <is>
          <t>Sí (_1/_2)</t>
        </is>
      </c>
      <c r="E174" s="38" t="inlineStr">
        <is>
          <t>Estándar CO0xxx</t>
        </is>
      </c>
    </row>
    <row r="175">
      <c r="A175" s="33" t="inlineStr">
        <is>
          <t>RECX_CO0500003198_1269715768_1</t>
        </is>
      </c>
      <c r="B175" s="34" t="inlineStr">
        <is>
          <t>RECX</t>
        </is>
      </c>
      <c r="C175" s="31" t="inlineStr">
        <is>
          <t>CO0500003198</t>
        </is>
      </c>
      <c r="D175" s="41" t="inlineStr">
        <is>
          <t>Sí (_1/_2)</t>
        </is>
      </c>
      <c r="E175" s="35" t="inlineStr">
        <is>
          <t>Estándar CO0xxx</t>
        </is>
      </c>
    </row>
    <row r="176">
      <c r="A176" s="36" t="inlineStr">
        <is>
          <t>REQA_CO0100006075_1247133532</t>
        </is>
      </c>
      <c r="B176" s="37" t="inlineStr">
        <is>
          <t>REQA</t>
        </is>
      </c>
      <c r="C176" s="28" t="inlineStr">
        <is>
          <t>CO0100006075</t>
        </is>
      </c>
      <c r="D176" s="38" t="inlineStr">
        <is>
          <t>No</t>
        </is>
      </c>
      <c r="E176" s="38" t="inlineStr">
        <is>
          <t>Estándar CO0xxx</t>
        </is>
      </c>
    </row>
    <row r="177">
      <c r="A177" s="33" t="inlineStr">
        <is>
          <t>REQA_CO0400005222_1253543113</t>
        </is>
      </c>
      <c r="B177" s="34" t="inlineStr">
        <is>
          <t>REQA</t>
        </is>
      </c>
      <c r="C177" s="31" t="inlineStr">
        <is>
          <t>CO0400005222</t>
        </is>
      </c>
      <c r="D177" s="35" t="inlineStr">
        <is>
          <t>No</t>
        </is>
      </c>
      <c r="E177" s="35" t="inlineStr">
        <is>
          <t>Estándar CO0xxx</t>
        </is>
      </c>
    </row>
    <row r="178">
      <c r="A178" s="36" t="inlineStr">
        <is>
          <t>REQA_CO0500006233_1254018487</t>
        </is>
      </c>
      <c r="B178" s="37" t="inlineStr">
        <is>
          <t>REQA</t>
        </is>
      </c>
      <c r="C178" s="28" t="inlineStr">
        <is>
          <t>CO0500006233</t>
        </is>
      </c>
      <c r="D178" s="38" t="inlineStr">
        <is>
          <t>No</t>
        </is>
      </c>
      <c r="E178" s="38" t="inlineStr">
        <is>
          <t>Estándar CO0xxx</t>
        </is>
      </c>
    </row>
    <row r="179">
      <c r="A179" s="33" t="inlineStr">
        <is>
          <t>TLIS_CO0100002753_1066271346</t>
        </is>
      </c>
      <c r="B179" s="34" t="inlineStr">
        <is>
          <t>TLIS</t>
        </is>
      </c>
      <c r="C179" s="31" t="inlineStr">
        <is>
          <t>CO0100002753</t>
        </is>
      </c>
      <c r="D179" s="35" t="inlineStr">
        <is>
          <t>No</t>
        </is>
      </c>
      <c r="E179" s="35" t="inlineStr">
        <is>
          <t>Estándar CO0xxx</t>
        </is>
      </c>
    </row>
    <row r="180">
      <c r="A180" s="36" t="inlineStr">
        <is>
          <t>TLIS_CO0100003044_1273283509_1</t>
        </is>
      </c>
      <c r="B180" s="37" t="inlineStr">
        <is>
          <t>TLIS</t>
        </is>
      </c>
      <c r="C180" s="28" t="inlineStr">
        <is>
          <t>CO0100003044</t>
        </is>
      </c>
      <c r="D180" s="42" t="inlineStr">
        <is>
          <t>Sí (_1/_2)</t>
        </is>
      </c>
      <c r="E180" s="38" t="inlineStr">
        <is>
          <t>Estándar CO0xxx</t>
        </is>
      </c>
    </row>
    <row r="181">
      <c r="A181" s="33" t="inlineStr">
        <is>
          <t>TLIS_CO0100003047_1273283486_1</t>
        </is>
      </c>
      <c r="B181" s="34" t="inlineStr">
        <is>
          <t>TLIS</t>
        </is>
      </c>
      <c r="C181" s="31" t="inlineStr">
        <is>
          <t>CO0100003047</t>
        </is>
      </c>
      <c r="D181" s="41" t="inlineStr">
        <is>
          <t>Sí (_1/_2)</t>
        </is>
      </c>
      <c r="E181" s="35" t="inlineStr">
        <is>
          <t>Estándar CO0xxx</t>
        </is>
      </c>
    </row>
    <row r="182">
      <c r="A182" s="36" t="inlineStr">
        <is>
          <t>TLIS_CO0100003048_1273283481_1</t>
        </is>
      </c>
      <c r="B182" s="37" t="inlineStr">
        <is>
          <t>TLIS</t>
        </is>
      </c>
      <c r="C182" s="28" t="inlineStr">
        <is>
          <t>CO0100003048</t>
        </is>
      </c>
      <c r="D182" s="42" t="inlineStr">
        <is>
          <t>Sí (_1/_2)</t>
        </is>
      </c>
      <c r="E182" s="38" t="inlineStr">
        <is>
          <t>Estándar CO0xxx</t>
        </is>
      </c>
    </row>
    <row r="183">
      <c r="A183" s="33" t="inlineStr">
        <is>
          <t>TLIS_CO0100003049_1066271308</t>
        </is>
      </c>
      <c r="B183" s="34" t="inlineStr">
        <is>
          <t>TLIS</t>
        </is>
      </c>
      <c r="C183" s="31" t="inlineStr">
        <is>
          <t>CO0100003049</t>
        </is>
      </c>
      <c r="D183" s="35" t="inlineStr">
        <is>
          <t>No</t>
        </is>
      </c>
      <c r="E183" s="35" t="inlineStr">
        <is>
          <t>Estándar CO0xxx</t>
        </is>
      </c>
    </row>
    <row r="184">
      <c r="A184" s="36" t="inlineStr">
        <is>
          <t>TLIS_CO0100003049_1273283474_1</t>
        </is>
      </c>
      <c r="B184" s="37" t="inlineStr">
        <is>
          <t>TLIS</t>
        </is>
      </c>
      <c r="C184" s="28" t="inlineStr">
        <is>
          <t>CO0100003049</t>
        </is>
      </c>
      <c r="D184" s="42" t="inlineStr">
        <is>
          <t>Sí (_1/_2)</t>
        </is>
      </c>
      <c r="E184" s="38" t="inlineStr">
        <is>
          <t>Estándar CO0xxx</t>
        </is>
      </c>
    </row>
    <row r="185">
      <c r="A185" s="33" t="inlineStr">
        <is>
          <t>TLIS_CO0100003050_1260576528_1</t>
        </is>
      </c>
      <c r="B185" s="34" t="inlineStr">
        <is>
          <t>TLIS</t>
        </is>
      </c>
      <c r="C185" s="31" t="inlineStr">
        <is>
          <t>CO0100003050</t>
        </is>
      </c>
      <c r="D185" s="41" t="inlineStr">
        <is>
          <t>Sí (_1/_2)</t>
        </is>
      </c>
      <c r="E185" s="35" t="inlineStr">
        <is>
          <t>Estándar CO0xxx</t>
        </is>
      </c>
    </row>
    <row r="186">
      <c r="A186" s="36" t="inlineStr">
        <is>
          <t>TLIS_CO0100003050_1273283469_1</t>
        </is>
      </c>
      <c r="B186" s="37" t="inlineStr">
        <is>
          <t>TLIS</t>
        </is>
      </c>
      <c r="C186" s="28" t="inlineStr">
        <is>
          <t>CO0100003050</t>
        </is>
      </c>
      <c r="D186" s="42" t="inlineStr">
        <is>
          <t>Sí (_1/_2)</t>
        </is>
      </c>
      <c r="E186" s="38" t="inlineStr">
        <is>
          <t>Estándar CO0xxx</t>
        </is>
      </c>
    </row>
    <row r="187">
      <c r="A187" s="33" t="inlineStr">
        <is>
          <t>TLIS_CO0100003052_1066271318</t>
        </is>
      </c>
      <c r="B187" s="34" t="inlineStr">
        <is>
          <t>TLIS</t>
        </is>
      </c>
      <c r="C187" s="31" t="inlineStr">
        <is>
          <t>CO0100003052</t>
        </is>
      </c>
      <c r="D187" s="35" t="inlineStr">
        <is>
          <t>No</t>
        </is>
      </c>
      <c r="E187" s="35" t="inlineStr">
        <is>
          <t>Estándar CO0xxx</t>
        </is>
      </c>
    </row>
    <row r="188">
      <c r="A188" s="36" t="inlineStr">
        <is>
          <t>TLIS_CO0100003052_1260576513_1</t>
        </is>
      </c>
      <c r="B188" s="37" t="inlineStr">
        <is>
          <t>TLIS</t>
        </is>
      </c>
      <c r="C188" s="28" t="inlineStr">
        <is>
          <t>CO0100003052</t>
        </is>
      </c>
      <c r="D188" s="42" t="inlineStr">
        <is>
          <t>Sí (_1/_2)</t>
        </is>
      </c>
      <c r="E188" s="38" t="inlineStr">
        <is>
          <t>Estándar CO0xxx</t>
        </is>
      </c>
    </row>
    <row r="189">
      <c r="A189" s="33" t="inlineStr">
        <is>
          <t>TLIS_CO0100003053_1273283451_1</t>
        </is>
      </c>
      <c r="B189" s="34" t="inlineStr">
        <is>
          <t>TLIS</t>
        </is>
      </c>
      <c r="C189" s="31" t="inlineStr">
        <is>
          <t>CO0100003053</t>
        </is>
      </c>
      <c r="D189" s="41" t="inlineStr">
        <is>
          <t>Sí (_1/_2)</t>
        </is>
      </c>
      <c r="E189" s="35" t="inlineStr">
        <is>
          <t>Estándar CO0xxx</t>
        </is>
      </c>
    </row>
    <row r="190">
      <c r="A190" s="36" t="inlineStr">
        <is>
          <t>TLIS_CO0100003054_1066271307</t>
        </is>
      </c>
      <c r="B190" s="37" t="inlineStr">
        <is>
          <t>TLIS</t>
        </is>
      </c>
      <c r="C190" s="28" t="inlineStr">
        <is>
          <t>CO0100003054</t>
        </is>
      </c>
      <c r="D190" s="38" t="inlineStr">
        <is>
          <t>No</t>
        </is>
      </c>
      <c r="E190" s="38" t="inlineStr">
        <is>
          <t>Estándar CO0xxx</t>
        </is>
      </c>
    </row>
    <row r="191">
      <c r="A191" s="33" t="inlineStr">
        <is>
          <t>TLIS_CO0100003054_1273283441_1</t>
        </is>
      </c>
      <c r="B191" s="34" t="inlineStr">
        <is>
          <t>TLIS</t>
        </is>
      </c>
      <c r="C191" s="31" t="inlineStr">
        <is>
          <t>CO0100003054</t>
        </is>
      </c>
      <c r="D191" s="41" t="inlineStr">
        <is>
          <t>Sí (_1/_2)</t>
        </is>
      </c>
      <c r="E191" s="35" t="inlineStr">
        <is>
          <t>Estándar CO0xxx</t>
        </is>
      </c>
    </row>
    <row r="192">
      <c r="A192" s="36" t="inlineStr">
        <is>
          <t>TLIS_CO0100003055_1066271348</t>
        </is>
      </c>
      <c r="B192" s="37" t="inlineStr">
        <is>
          <t>TLIS</t>
        </is>
      </c>
      <c r="C192" s="28" t="inlineStr">
        <is>
          <t>CO0100003055</t>
        </is>
      </c>
      <c r="D192" s="38" t="inlineStr">
        <is>
          <t>No</t>
        </is>
      </c>
      <c r="E192" s="38" t="inlineStr">
        <is>
          <t>Estándar CO0xxx</t>
        </is>
      </c>
    </row>
    <row r="193">
      <c r="A193" s="33" t="inlineStr">
        <is>
          <t>TLIS_CO0100003055_1260576498_1</t>
        </is>
      </c>
      <c r="B193" s="34" t="inlineStr">
        <is>
          <t>TLIS</t>
        </is>
      </c>
      <c r="C193" s="31" t="inlineStr">
        <is>
          <t>CO0100003055</t>
        </is>
      </c>
      <c r="D193" s="41" t="inlineStr">
        <is>
          <t>Sí (_1/_2)</t>
        </is>
      </c>
      <c r="E193" s="35" t="inlineStr">
        <is>
          <t>Estándar CO0xxx</t>
        </is>
      </c>
    </row>
    <row r="194">
      <c r="A194" s="36" t="inlineStr">
        <is>
          <t>TLIS_CO0100003056_1260576490_1</t>
        </is>
      </c>
      <c r="B194" s="37" t="inlineStr">
        <is>
          <t>TLIS</t>
        </is>
      </c>
      <c r="C194" s="28" t="inlineStr">
        <is>
          <t>CO0100003056</t>
        </is>
      </c>
      <c r="D194" s="42" t="inlineStr">
        <is>
          <t>Sí (_1/_2)</t>
        </is>
      </c>
      <c r="E194" s="38" t="inlineStr">
        <is>
          <t>Estándar CO0xxx</t>
        </is>
      </c>
    </row>
    <row r="195">
      <c r="A195" s="33" t="inlineStr">
        <is>
          <t>TLIS_CO0100003056_1273283428_1</t>
        </is>
      </c>
      <c r="B195" s="34" t="inlineStr">
        <is>
          <t>TLIS</t>
        </is>
      </c>
      <c r="C195" s="31" t="inlineStr">
        <is>
          <t>CO0100003056</t>
        </is>
      </c>
      <c r="D195" s="41" t="inlineStr">
        <is>
          <t>Sí (_1/_2)</t>
        </is>
      </c>
      <c r="E195" s="35" t="inlineStr">
        <is>
          <t>Estándar CO0xxx</t>
        </is>
      </c>
    </row>
    <row r="196">
      <c r="A196" s="36" t="inlineStr">
        <is>
          <t>TLIS_CO0100003057_1260576488_1</t>
        </is>
      </c>
      <c r="B196" s="37" t="inlineStr">
        <is>
          <t>TLIS</t>
        </is>
      </c>
      <c r="C196" s="28" t="inlineStr">
        <is>
          <t>CO0100003057</t>
        </is>
      </c>
      <c r="D196" s="42" t="inlineStr">
        <is>
          <t>Sí (_1/_2)</t>
        </is>
      </c>
      <c r="E196" s="38" t="inlineStr">
        <is>
          <t>Estándar CO0xxx</t>
        </is>
      </c>
    </row>
    <row r="197">
      <c r="A197" s="33" t="inlineStr">
        <is>
          <t>TLIS_CO0100003058_1066271315</t>
        </is>
      </c>
      <c r="B197" s="34" t="inlineStr">
        <is>
          <t>TLIS</t>
        </is>
      </c>
      <c r="C197" s="31" t="inlineStr">
        <is>
          <t>CO0100003058</t>
        </is>
      </c>
      <c r="D197" s="35" t="inlineStr">
        <is>
          <t>No</t>
        </is>
      </c>
      <c r="E197" s="35" t="inlineStr">
        <is>
          <t>Estándar CO0xxx</t>
        </is>
      </c>
    </row>
    <row r="198">
      <c r="A198" s="36" t="inlineStr">
        <is>
          <t>TLIS_CO0100003058_1260576479_1</t>
        </is>
      </c>
      <c r="B198" s="37" t="inlineStr">
        <is>
          <t>TLIS</t>
        </is>
      </c>
      <c r="C198" s="28" t="inlineStr">
        <is>
          <t>CO0100003058</t>
        </is>
      </c>
      <c r="D198" s="42" t="inlineStr">
        <is>
          <t>Sí (_1/_2)</t>
        </is>
      </c>
      <c r="E198" s="38" t="inlineStr">
        <is>
          <t>Estándar CO0xxx</t>
        </is>
      </c>
    </row>
    <row r="199">
      <c r="A199" s="33" t="inlineStr">
        <is>
          <t>TLIS_CO0100003058_1273283409_1</t>
        </is>
      </c>
      <c r="B199" s="34" t="inlineStr">
        <is>
          <t>TLIS</t>
        </is>
      </c>
      <c r="C199" s="31" t="inlineStr">
        <is>
          <t>CO0100003058</t>
        </is>
      </c>
      <c r="D199" s="41" t="inlineStr">
        <is>
          <t>Sí (_1/_2)</t>
        </is>
      </c>
      <c r="E199" s="35" t="inlineStr">
        <is>
          <t>Estándar CO0xxx</t>
        </is>
      </c>
    </row>
    <row r="200">
      <c r="A200" s="36" t="inlineStr">
        <is>
          <t>TLIS_CO0100003059_1260576472_1</t>
        </is>
      </c>
      <c r="B200" s="37" t="inlineStr">
        <is>
          <t>TLIS</t>
        </is>
      </c>
      <c r="C200" s="28" t="inlineStr">
        <is>
          <t>CO0100003059</t>
        </is>
      </c>
      <c r="D200" s="42" t="inlineStr">
        <is>
          <t>Sí (_1/_2)</t>
        </is>
      </c>
      <c r="E200" s="38" t="inlineStr">
        <is>
          <t>Estándar CO0xxx</t>
        </is>
      </c>
    </row>
    <row r="201">
      <c r="A201" s="33" t="inlineStr">
        <is>
          <t>TLIS_CO0100003060_1260576470_1</t>
        </is>
      </c>
      <c r="B201" s="34" t="inlineStr">
        <is>
          <t>TLIS</t>
        </is>
      </c>
      <c r="C201" s="31" t="inlineStr">
        <is>
          <t>CO0100003060</t>
        </is>
      </c>
      <c r="D201" s="41" t="inlineStr">
        <is>
          <t>Sí (_1/_2)</t>
        </is>
      </c>
      <c r="E201" s="35" t="inlineStr">
        <is>
          <t>Estándar CO0xxx</t>
        </is>
      </c>
    </row>
    <row r="202">
      <c r="A202" s="36" t="inlineStr">
        <is>
          <t>TLIS_CO0100003061_1066271332</t>
        </is>
      </c>
      <c r="B202" s="37" t="inlineStr">
        <is>
          <t>TLIS</t>
        </is>
      </c>
      <c r="C202" s="28" t="inlineStr">
        <is>
          <t>CO0100003061</t>
        </is>
      </c>
      <c r="D202" s="38" t="inlineStr">
        <is>
          <t>No</t>
        </is>
      </c>
      <c r="E202" s="38" t="inlineStr">
        <is>
          <t>Estándar CO0xxx</t>
        </is>
      </c>
    </row>
    <row r="203">
      <c r="A203" s="33" t="inlineStr">
        <is>
          <t>TLIS_CO0100003062_1260576461_1</t>
        </is>
      </c>
      <c r="B203" s="34" t="inlineStr">
        <is>
          <t>TLIS</t>
        </is>
      </c>
      <c r="C203" s="31" t="inlineStr">
        <is>
          <t>CO0100003062</t>
        </is>
      </c>
      <c r="D203" s="41" t="inlineStr">
        <is>
          <t>Sí (_1/_2)</t>
        </is>
      </c>
      <c r="E203" s="35" t="inlineStr">
        <is>
          <t>Estándar CO0xxx</t>
        </is>
      </c>
    </row>
    <row r="204">
      <c r="A204" s="36" t="inlineStr">
        <is>
          <t>TLIS_CO0100003063_1260576454_1</t>
        </is>
      </c>
      <c r="B204" s="37" t="inlineStr">
        <is>
          <t>TLIS</t>
        </is>
      </c>
      <c r="C204" s="28" t="inlineStr">
        <is>
          <t>CO0100003063</t>
        </is>
      </c>
      <c r="D204" s="42" t="inlineStr">
        <is>
          <t>Sí (_1/_2)</t>
        </is>
      </c>
      <c r="E204" s="38" t="inlineStr">
        <is>
          <t>Estándar CO0xxx</t>
        </is>
      </c>
    </row>
    <row r="205">
      <c r="A205" s="33" t="inlineStr">
        <is>
          <t>TLIS_CO0100003063_1273283376_1</t>
        </is>
      </c>
      <c r="B205" s="34" t="inlineStr">
        <is>
          <t>TLIS</t>
        </is>
      </c>
      <c r="C205" s="31" t="inlineStr">
        <is>
          <t>CO0100003063</t>
        </is>
      </c>
      <c r="D205" s="41" t="inlineStr">
        <is>
          <t>Sí (_1/_2)</t>
        </is>
      </c>
      <c r="E205" s="35" t="inlineStr">
        <is>
          <t>Estándar CO0xxx</t>
        </is>
      </c>
    </row>
    <row r="206">
      <c r="A206" s="36" t="inlineStr">
        <is>
          <t>TLIS_CO0100003064_1260576450_1</t>
        </is>
      </c>
      <c r="B206" s="37" t="inlineStr">
        <is>
          <t>TLIS</t>
        </is>
      </c>
      <c r="C206" s="28" t="inlineStr">
        <is>
          <t>CO0100003064</t>
        </is>
      </c>
      <c r="D206" s="42" t="inlineStr">
        <is>
          <t>Sí (_1/_2)</t>
        </is>
      </c>
      <c r="E206" s="38" t="inlineStr">
        <is>
          <t>Estándar CO0xxx</t>
        </is>
      </c>
    </row>
    <row r="207">
      <c r="A207" s="33" t="inlineStr">
        <is>
          <t>TLIS_CO0100003067_1066271333</t>
        </is>
      </c>
      <c r="B207" s="34" t="inlineStr">
        <is>
          <t>TLIS</t>
        </is>
      </c>
      <c r="C207" s="31" t="inlineStr">
        <is>
          <t>CO0100003067</t>
        </is>
      </c>
      <c r="D207" s="35" t="inlineStr">
        <is>
          <t>No</t>
        </is>
      </c>
      <c r="E207" s="35" t="inlineStr">
        <is>
          <t>Estándar CO0xxx</t>
        </is>
      </c>
    </row>
    <row r="208">
      <c r="A208" s="36" t="inlineStr">
        <is>
          <t>TLIS_CO0100003067_1260576440_1</t>
        </is>
      </c>
      <c r="B208" s="37" t="inlineStr">
        <is>
          <t>TLIS</t>
        </is>
      </c>
      <c r="C208" s="28" t="inlineStr">
        <is>
          <t>CO0100003067</t>
        </is>
      </c>
      <c r="D208" s="42" t="inlineStr">
        <is>
          <t>Sí (_1/_2)</t>
        </is>
      </c>
      <c r="E208" s="38" t="inlineStr">
        <is>
          <t>Estándar CO0xxx</t>
        </is>
      </c>
    </row>
    <row r="209">
      <c r="A209" s="33" t="inlineStr">
        <is>
          <t>TLIS_CO0100003828_1069686138</t>
        </is>
      </c>
      <c r="B209" s="34" t="inlineStr">
        <is>
          <t>TLIS</t>
        </is>
      </c>
      <c r="C209" s="31" t="inlineStr">
        <is>
          <t>CO0100003828</t>
        </is>
      </c>
      <c r="D209" s="35" t="inlineStr">
        <is>
          <t>No</t>
        </is>
      </c>
      <c r="E209" s="35" t="inlineStr">
        <is>
          <t>Estándar CO0xxx</t>
        </is>
      </c>
    </row>
    <row r="210">
      <c r="A210" s="36" t="inlineStr">
        <is>
          <t>TLIS_CO0100004005_1068988195</t>
        </is>
      </c>
      <c r="B210" s="37" t="inlineStr">
        <is>
          <t>TLIS</t>
        </is>
      </c>
      <c r="C210" s="28" t="inlineStr">
        <is>
          <t>CO0100004005</t>
        </is>
      </c>
      <c r="D210" s="38" t="inlineStr">
        <is>
          <t>No</t>
        </is>
      </c>
      <c r="E210" s="38" t="inlineStr">
        <is>
          <t>Estándar CO0xxx</t>
        </is>
      </c>
    </row>
    <row r="211">
      <c r="A211" s="33" t="inlineStr">
        <is>
          <t>TLIS_CO0500004485_1055227326</t>
        </is>
      </c>
      <c r="B211" s="34" t="inlineStr">
        <is>
          <t>TLIS</t>
        </is>
      </c>
      <c r="C211" s="31" t="inlineStr">
        <is>
          <t>CO0500004485</t>
        </is>
      </c>
      <c r="D211" s="35" t="inlineStr">
        <is>
          <t>No</t>
        </is>
      </c>
      <c r="E211" s="35" t="inlineStr">
        <is>
          <t>Estándar CO0xxx</t>
        </is>
      </c>
    </row>
    <row r="212">
      <c r="A212" s="36" t="inlineStr">
        <is>
          <t>VERF_CO0100000548_1268736844_1</t>
        </is>
      </c>
      <c r="B212" s="37" t="inlineStr">
        <is>
          <t>VERF</t>
        </is>
      </c>
      <c r="C212" s="28" t="inlineStr">
        <is>
          <t>CO0100000548</t>
        </is>
      </c>
      <c r="D212" s="42" t="inlineStr">
        <is>
          <t>Sí (_1/_2)</t>
        </is>
      </c>
      <c r="E212" s="38" t="inlineStr">
        <is>
          <t>Estándar CO0xxx</t>
        </is>
      </c>
    </row>
    <row r="213">
      <c r="A213" s="33" t="inlineStr">
        <is>
          <t>VERF_CO0100002331_1268736854_1</t>
        </is>
      </c>
      <c r="B213" s="34" t="inlineStr">
        <is>
          <t>VERF</t>
        </is>
      </c>
      <c r="C213" s="31" t="inlineStr">
        <is>
          <t>CO0100002331</t>
        </is>
      </c>
      <c r="D213" s="41" t="inlineStr">
        <is>
          <t>Sí (_1/_2)</t>
        </is>
      </c>
      <c r="E213" s="35" t="inlineStr">
        <is>
          <t>Estándar CO0xxx</t>
        </is>
      </c>
    </row>
    <row r="214">
      <c r="A214" s="36" t="inlineStr">
        <is>
          <t>VEXT_CO0100003901_1260336407_1</t>
        </is>
      </c>
      <c r="B214" s="37" t="inlineStr">
        <is>
          <t>VEXT</t>
        </is>
      </c>
      <c r="C214" s="28" t="inlineStr">
        <is>
          <t>CO0100003901</t>
        </is>
      </c>
      <c r="D214" s="42" t="inlineStr">
        <is>
          <t>Sí (_1/_2)</t>
        </is>
      </c>
      <c r="E214" s="38" t="inlineStr">
        <is>
          <t>Estándar CO0xxx</t>
        </is>
      </c>
    </row>
    <row r="215">
      <c r="A215" s="33" t="inlineStr">
        <is>
          <t>VEXT_CO0500004475_1259760803_1</t>
        </is>
      </c>
      <c r="B215" s="34" t="inlineStr">
        <is>
          <t>VEXT</t>
        </is>
      </c>
      <c r="C215" s="31" t="inlineStr">
        <is>
          <t>CO0500004475</t>
        </is>
      </c>
      <c r="D215" s="41" t="inlineStr">
        <is>
          <t>Sí (_1/_2)</t>
        </is>
      </c>
      <c r="E215" s="35" t="inlineStr">
        <is>
          <t>Estándar CO0xxx</t>
        </is>
      </c>
    </row>
    <row r="216">
      <c r="A216" s="36" t="inlineStr">
        <is>
          <t>VEXT_CO0500006394_1266189179_1</t>
        </is>
      </c>
      <c r="B216" s="37" t="inlineStr">
        <is>
          <t>VEXT</t>
        </is>
      </c>
      <c r="C216" s="28" t="inlineStr">
        <is>
          <t>CO0500006394</t>
        </is>
      </c>
      <c r="D216" s="42" t="inlineStr">
        <is>
          <t>Sí (_1/_2)</t>
        </is>
      </c>
      <c r="E216" s="38" t="inlineStr">
        <is>
          <t>Estándar CO0xxx</t>
        </is>
      </c>
    </row>
    <row r="217">
      <c r="A217" s="33" t="inlineStr">
        <is>
          <t>VICO_CO0100003509_1253610908</t>
        </is>
      </c>
      <c r="B217" s="34" t="inlineStr">
        <is>
          <t>VICO</t>
        </is>
      </c>
      <c r="C217" s="31" t="inlineStr">
        <is>
          <t>CO0100003509</t>
        </is>
      </c>
      <c r="D217" s="35" t="inlineStr">
        <is>
          <t>No</t>
        </is>
      </c>
      <c r="E217" s="35" t="inlineStr">
        <is>
          <t>Estándar CO0xxx</t>
        </is>
      </c>
    </row>
    <row r="218">
      <c r="A218" s="36" t="inlineStr">
        <is>
          <t>VICO_CO0100003954_1288778102_1</t>
        </is>
      </c>
      <c r="B218" s="37" t="inlineStr">
        <is>
          <t>VICO</t>
        </is>
      </c>
      <c r="C218" s="28" t="inlineStr">
        <is>
          <t>CO0100003954</t>
        </is>
      </c>
      <c r="D218" s="42" t="inlineStr">
        <is>
          <t>Sí (_1/_2)</t>
        </is>
      </c>
      <c r="E218" s="38" t="inlineStr">
        <is>
          <t>Estándar CO0xxx</t>
        </is>
      </c>
    </row>
    <row r="219">
      <c r="A219" s="33" t="inlineStr">
        <is>
          <t>VICO_CO0100005533_1256911638</t>
        </is>
      </c>
      <c r="B219" s="34" t="inlineStr">
        <is>
          <t>VICO</t>
        </is>
      </c>
      <c r="C219" s="31" t="inlineStr">
        <is>
          <t>CO0100005533</t>
        </is>
      </c>
      <c r="D219" s="35" t="inlineStr">
        <is>
          <t>No</t>
        </is>
      </c>
      <c r="E219" s="35" t="inlineStr">
        <is>
          <t>Estándar CO0xxx</t>
        </is>
      </c>
    </row>
    <row r="220">
      <c r="A220" s="36" t="inlineStr">
        <is>
          <t>VICO_CO0100005534_1249497137</t>
        </is>
      </c>
      <c r="B220" s="37" t="inlineStr">
        <is>
          <t>VICO</t>
        </is>
      </c>
      <c r="C220" s="28" t="inlineStr">
        <is>
          <t>CO0100005534</t>
        </is>
      </c>
      <c r="D220" s="38" t="inlineStr">
        <is>
          <t>No</t>
        </is>
      </c>
      <c r="E220" s="38" t="inlineStr">
        <is>
          <t>Estándar CO0xxx</t>
        </is>
      </c>
    </row>
    <row r="221">
      <c r="A221" s="33" t="inlineStr">
        <is>
          <t>VICO_CO0100005534_1256911329</t>
        </is>
      </c>
      <c r="B221" s="34" t="inlineStr">
        <is>
          <t>VICO</t>
        </is>
      </c>
      <c r="C221" s="31" t="inlineStr">
        <is>
          <t>CO0100005534</t>
        </is>
      </c>
      <c r="D221" s="35" t="inlineStr">
        <is>
          <t>No</t>
        </is>
      </c>
      <c r="E221" s="35" t="inlineStr">
        <is>
          <t>Estándar CO0xxx</t>
        </is>
      </c>
    </row>
    <row r="222">
      <c r="A222" s="36" t="inlineStr">
        <is>
          <t>VICO_CO0400006329_1253805435</t>
        </is>
      </c>
      <c r="B222" s="37" t="inlineStr">
        <is>
          <t>VICO</t>
        </is>
      </c>
      <c r="C222" s="28" t="inlineStr">
        <is>
          <t>CO0400006329</t>
        </is>
      </c>
      <c r="D222" s="38" t="inlineStr">
        <is>
          <t>No</t>
        </is>
      </c>
      <c r="E222" s="38" t="inlineStr">
        <is>
          <t>Estándar CO0xxx</t>
        </is>
      </c>
    </row>
    <row r="223">
      <c r="A223" s="33" t="inlineStr">
        <is>
          <t>VICO_CO0500002310_1274243481_1</t>
        </is>
      </c>
      <c r="B223" s="34" t="inlineStr">
        <is>
          <t>VICO</t>
        </is>
      </c>
      <c r="C223" s="31" t="inlineStr">
        <is>
          <t>CO0500002310</t>
        </is>
      </c>
      <c r="D223" s="41" t="inlineStr">
        <is>
          <t>Sí (_1/_2)</t>
        </is>
      </c>
      <c r="E223" s="35" t="inlineStr">
        <is>
          <t>Estándar CO0xxx</t>
        </is>
      </c>
    </row>
    <row r="224">
      <c r="A224" s="36" t="inlineStr">
        <is>
          <t>VIPE_CO0100006059_1249885732</t>
        </is>
      </c>
      <c r="B224" s="37" t="inlineStr">
        <is>
          <t>VIPE</t>
        </is>
      </c>
      <c r="C224" s="28" t="inlineStr">
        <is>
          <t>CO0100006059</t>
        </is>
      </c>
      <c r="D224" s="38" t="inlineStr">
        <is>
          <t>No</t>
        </is>
      </c>
      <c r="E224" s="38" t="inlineStr">
        <is>
          <t>Estándar CO0xxx</t>
        </is>
      </c>
    </row>
    <row r="225">
      <c r="A225" s="33" t="inlineStr">
        <is>
          <t>VIPE_CO0100006335_1253581367</t>
        </is>
      </c>
      <c r="B225" s="34" t="inlineStr">
        <is>
          <t>VIPE</t>
        </is>
      </c>
      <c r="C225" s="31" t="inlineStr">
        <is>
          <t>CO0100006335</t>
        </is>
      </c>
      <c r="D225" s="35" t="inlineStr">
        <is>
          <t>No</t>
        </is>
      </c>
      <c r="E225" s="35" t="inlineStr">
        <is>
          <t>Estándar CO0xxx</t>
        </is>
      </c>
    </row>
    <row r="226">
      <c r="A226" s="36" t="inlineStr">
        <is>
          <t>VIPE_CO0100006386_1253557948</t>
        </is>
      </c>
      <c r="B226" s="37" t="inlineStr">
        <is>
          <t>VIPE</t>
        </is>
      </c>
      <c r="C226" s="28" t="inlineStr">
        <is>
          <t>CO0100006386</t>
        </is>
      </c>
      <c r="D226" s="38" t="inlineStr">
        <is>
          <t>No</t>
        </is>
      </c>
      <c r="E226" s="38" t="inlineStr">
        <is>
          <t>Estándar CO0xxx</t>
        </is>
      </c>
    </row>
    <row r="227">
      <c r="A227" s="33" t="inlineStr">
        <is>
          <t>VIPE_CO0100006387_1253558158</t>
        </is>
      </c>
      <c r="B227" s="34" t="inlineStr">
        <is>
          <t>VIPE</t>
        </is>
      </c>
      <c r="C227" s="31" t="inlineStr">
        <is>
          <t>CO0100006387</t>
        </is>
      </c>
      <c r="D227" s="35" t="inlineStr">
        <is>
          <t>No</t>
        </is>
      </c>
      <c r="E227" s="35" t="inlineStr">
        <is>
          <t>Estándar CO0xxx</t>
        </is>
      </c>
    </row>
    <row r="228">
      <c r="A228" s="36" t="inlineStr">
        <is>
          <t>VIPE_CO0100006435_1264188471_1</t>
        </is>
      </c>
      <c r="B228" s="37" t="inlineStr">
        <is>
          <t>VIPE</t>
        </is>
      </c>
      <c r="C228" s="28" t="inlineStr">
        <is>
          <t>CO0100006435</t>
        </is>
      </c>
      <c r="D228" s="42" t="inlineStr">
        <is>
          <t>Sí (_1/_2)</t>
        </is>
      </c>
      <c r="E228" s="38" t="inlineStr">
        <is>
          <t>Estándar CO0xxx</t>
        </is>
      </c>
    </row>
    <row r="229">
      <c r="A229" s="33" t="inlineStr">
        <is>
          <t>VIPE_CO0100006439_1264209128_1</t>
        </is>
      </c>
      <c r="B229" s="34" t="inlineStr">
        <is>
          <t>VIPE</t>
        </is>
      </c>
      <c r="C229" s="31" t="inlineStr">
        <is>
          <t>CO0100006439</t>
        </is>
      </c>
      <c r="D229" s="41" t="inlineStr">
        <is>
          <t>Sí (_1/_2)</t>
        </is>
      </c>
      <c r="E229" s="35" t="inlineStr">
        <is>
          <t>Estándar CO0xxx</t>
        </is>
      </c>
    </row>
    <row r="230">
      <c r="A230" s="36" t="inlineStr">
        <is>
          <t>VIPE_CO0100006439_1264209128_2</t>
        </is>
      </c>
      <c r="B230" s="37" t="inlineStr">
        <is>
          <t>VIPE</t>
        </is>
      </c>
      <c r="C230" s="28" t="inlineStr">
        <is>
          <t>CO0100006439</t>
        </is>
      </c>
      <c r="D230" s="42" t="inlineStr">
        <is>
          <t>Sí (_1/_2)</t>
        </is>
      </c>
      <c r="E230" s="38" t="inlineStr">
        <is>
          <t>Estándar CO0xxx</t>
        </is>
      </c>
    </row>
    <row r="231">
      <c r="A231" s="33" t="inlineStr">
        <is>
          <t>VIPE_CO0100006441_1264208681_1</t>
        </is>
      </c>
      <c r="B231" s="34" t="inlineStr">
        <is>
          <t>VIPE</t>
        </is>
      </c>
      <c r="C231" s="31" t="inlineStr">
        <is>
          <t>CO0100006441</t>
        </is>
      </c>
      <c r="D231" s="41" t="inlineStr">
        <is>
          <t>Sí (_1/_2)</t>
        </is>
      </c>
      <c r="E231" s="35" t="inlineStr">
        <is>
          <t>Estándar CO0xxx</t>
        </is>
      </c>
    </row>
    <row r="232">
      <c r="A232" s="36" t="inlineStr">
        <is>
          <t>VIPE_CO0100006450_1269241314_1</t>
        </is>
      </c>
      <c r="B232" s="37" t="inlineStr">
        <is>
          <t>VIPE</t>
        </is>
      </c>
      <c r="C232" s="28" t="inlineStr">
        <is>
          <t>CO0100006450</t>
        </is>
      </c>
      <c r="D232" s="42" t="inlineStr">
        <is>
          <t>Sí (_1/_2)</t>
        </is>
      </c>
      <c r="E232" s="38" t="inlineStr">
        <is>
          <t>Estándar CO0xxx</t>
        </is>
      </c>
    </row>
    <row r="233">
      <c r="A233" s="33" t="inlineStr">
        <is>
          <t>VIPE_CO0100006451_1269241501_1</t>
        </is>
      </c>
      <c r="B233" s="34" t="inlineStr">
        <is>
          <t>VIPE</t>
        </is>
      </c>
      <c r="C233" s="31" t="inlineStr">
        <is>
          <t>CO0100006451</t>
        </is>
      </c>
      <c r="D233" s="41" t="inlineStr">
        <is>
          <t>Sí (_1/_2)</t>
        </is>
      </c>
      <c r="E233" s="35" t="inlineStr">
        <is>
          <t>Estándar CO0xxx</t>
        </is>
      </c>
    </row>
    <row r="234">
      <c r="A234" s="36" t="inlineStr">
        <is>
          <t>VIPE_CO0100006455_1269243331_1</t>
        </is>
      </c>
      <c r="B234" s="37" t="inlineStr">
        <is>
          <t>VIPE</t>
        </is>
      </c>
      <c r="C234" s="28" t="inlineStr">
        <is>
          <t>CO0100006455</t>
        </is>
      </c>
      <c r="D234" s="42" t="inlineStr">
        <is>
          <t>Sí (_1/_2)</t>
        </is>
      </c>
      <c r="E234" s="38" t="inlineStr">
        <is>
          <t>Estándar CO0xxx</t>
        </is>
      </c>
    </row>
    <row r="235">
      <c r="A235" s="33" t="inlineStr">
        <is>
          <t>VIPE_CO0100006464_1269280229_1</t>
        </is>
      </c>
      <c r="B235" s="34" t="inlineStr">
        <is>
          <t>VIPE</t>
        </is>
      </c>
      <c r="C235" s="31" t="inlineStr">
        <is>
          <t>CO0100006464</t>
        </is>
      </c>
      <c r="D235" s="41" t="inlineStr">
        <is>
          <t>Sí (_1/_2)</t>
        </is>
      </c>
      <c r="E235" s="35" t="inlineStr">
        <is>
          <t>Estándar CO0xxx</t>
        </is>
      </c>
    </row>
    <row r="236">
      <c r="A236" s="36" t="inlineStr">
        <is>
          <t>VIPE_CO0400003111_1247766396</t>
        </is>
      </c>
      <c r="B236" s="37" t="inlineStr">
        <is>
          <t>VIPE</t>
        </is>
      </c>
      <c r="C236" s="28" t="inlineStr">
        <is>
          <t>CO0400003111</t>
        </is>
      </c>
      <c r="D236" s="38" t="inlineStr">
        <is>
          <t>No</t>
        </is>
      </c>
      <c r="E236" s="38" t="inlineStr">
        <is>
          <t>Estándar CO0xxx</t>
        </is>
      </c>
    </row>
    <row r="237">
      <c r="A237" s="33" t="inlineStr">
        <is>
          <t>VIPE_CO0500005747_1167265461_1</t>
        </is>
      </c>
      <c r="B237" s="34" t="inlineStr">
        <is>
          <t>VIPE</t>
        </is>
      </c>
      <c r="C237" s="31" t="inlineStr">
        <is>
          <t>CO0500005747</t>
        </is>
      </c>
      <c r="D237" s="41" t="inlineStr">
        <is>
          <t>Sí (_1/_2)</t>
        </is>
      </c>
      <c r="E237" s="35" t="inlineStr">
        <is>
          <t>Estándar CO0xxx</t>
        </is>
      </c>
    </row>
    <row r="238">
      <c r="A238" s="36" t="inlineStr">
        <is>
          <t>VIPE_CO0500006209_1210025515_1</t>
        </is>
      </c>
      <c r="B238" s="37" t="inlineStr">
        <is>
          <t>VIPE</t>
        </is>
      </c>
      <c r="C238" s="28" t="inlineStr">
        <is>
          <t>CO0500006209</t>
        </is>
      </c>
      <c r="D238" s="42" t="inlineStr">
        <is>
          <t>Sí (_1/_2)</t>
        </is>
      </c>
      <c r="E238" s="38" t="inlineStr">
        <is>
          <t>Estándar CO0xxx</t>
        </is>
      </c>
    </row>
    <row r="239">
      <c r="A239" s="33" t="inlineStr">
        <is>
          <t>VIPE_CO0500006213_1247748969</t>
        </is>
      </c>
      <c r="B239" s="34" t="inlineStr">
        <is>
          <t>VIPE</t>
        </is>
      </c>
      <c r="C239" s="31" t="inlineStr">
        <is>
          <t>CO0500006213</t>
        </is>
      </c>
      <c r="D239" s="35" t="inlineStr">
        <is>
          <t>No</t>
        </is>
      </c>
      <c r="E239" s="35" t="inlineStr">
        <is>
          <t>Estándar CO0xxx</t>
        </is>
      </c>
    </row>
    <row r="240">
      <c r="A240" s="36" t="inlineStr">
        <is>
          <t>VIPE_CO0500006345_1249523336</t>
        </is>
      </c>
      <c r="B240" s="37" t="inlineStr">
        <is>
          <t>VIPE</t>
        </is>
      </c>
      <c r="C240" s="28" t="inlineStr">
        <is>
          <t>CO0500006345</t>
        </is>
      </c>
      <c r="D240" s="38" t="inlineStr">
        <is>
          <t>No</t>
        </is>
      </c>
      <c r="E240" s="38" t="inlineStr">
        <is>
          <t>Estándar CO0xxx</t>
        </is>
      </c>
    </row>
    <row r="241">
      <c r="A241" s="33" t="inlineStr">
        <is>
          <t>VIPE_CO0500006346_1249509216</t>
        </is>
      </c>
      <c r="B241" s="34" t="inlineStr">
        <is>
          <t>VIPE</t>
        </is>
      </c>
      <c r="C241" s="31" t="inlineStr">
        <is>
          <t>CO0500006346</t>
        </is>
      </c>
      <c r="D241" s="35" t="inlineStr">
        <is>
          <t>No</t>
        </is>
      </c>
      <c r="E241" s="35" t="inlineStr">
        <is>
          <t>Estándar CO0xxx</t>
        </is>
      </c>
    </row>
    <row r="242">
      <c r="A242" s="36" t="inlineStr">
        <is>
          <t>VIPE_CO0500006352_1250146857</t>
        </is>
      </c>
      <c r="B242" s="37" t="inlineStr">
        <is>
          <t>VIPE</t>
        </is>
      </c>
      <c r="C242" s="28" t="inlineStr">
        <is>
          <t>CO0500006352</t>
        </is>
      </c>
      <c r="D242" s="38" t="inlineStr">
        <is>
          <t>No</t>
        </is>
      </c>
      <c r="E242" s="38" t="inlineStr">
        <is>
          <t>Estándar CO0xxx</t>
        </is>
      </c>
    </row>
    <row r="243">
      <c r="A243" s="33" t="inlineStr">
        <is>
          <t>VIPE_CO0500006399_1257856434</t>
        </is>
      </c>
      <c r="B243" s="34" t="inlineStr">
        <is>
          <t>VIPE</t>
        </is>
      </c>
      <c r="C243" s="31" t="inlineStr">
        <is>
          <t>CO0500006399</t>
        </is>
      </c>
      <c r="D243" s="35" t="inlineStr">
        <is>
          <t>No</t>
        </is>
      </c>
      <c r="E243" s="35" t="inlineStr">
        <is>
          <t>Estándar CO0xxx</t>
        </is>
      </c>
    </row>
    <row r="244">
      <c r="A244" s="36" t="inlineStr">
        <is>
          <t>VIPE_CO0500006405_1259394828_1</t>
        </is>
      </c>
      <c r="B244" s="37" t="inlineStr">
        <is>
          <t>VIPE</t>
        </is>
      </c>
      <c r="C244" s="28" t="inlineStr">
        <is>
          <t>CO0500006405</t>
        </is>
      </c>
      <c r="D244" s="42" t="inlineStr">
        <is>
          <t>Sí (_1/_2)</t>
        </is>
      </c>
      <c r="E244" s="38" t="inlineStr">
        <is>
          <t>Estándar CO0xxx</t>
        </is>
      </c>
    </row>
    <row r="245">
      <c r="A245" s="33" t="inlineStr">
        <is>
          <t>VIPE_CO0500006418_1259411930_1</t>
        </is>
      </c>
      <c r="B245" s="34" t="inlineStr">
        <is>
          <t>VIPE</t>
        </is>
      </c>
      <c r="C245" s="31" t="inlineStr">
        <is>
          <t>CO0500006418</t>
        </is>
      </c>
      <c r="D245" s="41" t="inlineStr">
        <is>
          <t>Sí (_1/_2)</t>
        </is>
      </c>
      <c r="E245" s="35" t="inlineStr">
        <is>
          <t>Estándar CO0xxx</t>
        </is>
      </c>
    </row>
    <row r="246">
      <c r="A246" s="36" t="inlineStr">
        <is>
          <t>VIPE_CO0500006419_1259421047_1</t>
        </is>
      </c>
      <c r="B246" s="37" t="inlineStr">
        <is>
          <t>VIPE</t>
        </is>
      </c>
      <c r="C246" s="28" t="inlineStr">
        <is>
          <t>CO0500006419</t>
        </is>
      </c>
      <c r="D246" s="42" t="inlineStr">
        <is>
          <t>Sí (_1/_2)</t>
        </is>
      </c>
      <c r="E246" s="38" t="inlineStr">
        <is>
          <t>Estándar CO0xxx</t>
        </is>
      </c>
    </row>
    <row r="247">
      <c r="A247" s="33" t="inlineStr">
        <is>
          <t>VIPE_CO0500006427_1261172165_1</t>
        </is>
      </c>
      <c r="B247" s="34" t="inlineStr">
        <is>
          <t>VIPE</t>
        </is>
      </c>
      <c r="C247" s="31" t="inlineStr">
        <is>
          <t>CO0500006427</t>
        </is>
      </c>
      <c r="D247" s="41" t="inlineStr">
        <is>
          <t>Sí (_1/_2)</t>
        </is>
      </c>
      <c r="E247" s="35" t="inlineStr">
        <is>
          <t>Estándar CO0xxx</t>
        </is>
      </c>
    </row>
    <row r="248">
      <c r="A248" s="36" t="inlineStr">
        <is>
          <t>VIPE_CO0500006428_1261168395_1</t>
        </is>
      </c>
      <c r="B248" s="37" t="inlineStr">
        <is>
          <t>VIPE</t>
        </is>
      </c>
      <c r="C248" s="28" t="inlineStr">
        <is>
          <t>CO0500006428</t>
        </is>
      </c>
      <c r="D248" s="42" t="inlineStr">
        <is>
          <t>Sí (_1/_2)</t>
        </is>
      </c>
      <c r="E248" s="38" t="inlineStr">
        <is>
          <t>Estándar CO0xxx</t>
        </is>
      </c>
    </row>
    <row r="249">
      <c r="A249" s="33" t="inlineStr">
        <is>
          <t>VIPE_CO0500006458_1269208948_1</t>
        </is>
      </c>
      <c r="B249" s="34" t="inlineStr">
        <is>
          <t>VIPE</t>
        </is>
      </c>
      <c r="C249" s="31" t="inlineStr">
        <is>
          <t>CO0500006458</t>
        </is>
      </c>
      <c r="D249" s="41" t="inlineStr">
        <is>
          <t>Sí (_1/_2)</t>
        </is>
      </c>
      <c r="E249" s="35" t="inlineStr">
        <is>
          <t>Estándar CO0xxx</t>
        </is>
      </c>
    </row>
    <row r="250">
      <c r="A250" s="36" t="inlineStr">
        <is>
          <t>VIPE_CO0500006461_1269269228_1</t>
        </is>
      </c>
      <c r="B250" s="37" t="inlineStr">
        <is>
          <t>VIPE</t>
        </is>
      </c>
      <c r="C250" s="28" t="inlineStr">
        <is>
          <t>CO0500006461</t>
        </is>
      </c>
      <c r="D250" s="42" t="inlineStr">
        <is>
          <t>Sí (_1/_2)</t>
        </is>
      </c>
      <c r="E250" s="38" t="inlineStr">
        <is>
          <t>Estándar CO0xxx</t>
        </is>
      </c>
    </row>
    <row r="251">
      <c r="A251" s="33" t="inlineStr">
        <is>
          <t>VIPE_CO0500006463_1269272433_1</t>
        </is>
      </c>
      <c r="B251" s="34" t="inlineStr">
        <is>
          <t>VIPE</t>
        </is>
      </c>
      <c r="C251" s="31" t="inlineStr">
        <is>
          <t>CO0500006463</t>
        </is>
      </c>
      <c r="D251" s="41" t="inlineStr">
        <is>
          <t>Sí (_1/_2)</t>
        </is>
      </c>
      <c r="E251" s="35" t="inlineStr">
        <is>
          <t>Estándar CO0xxx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22" customWidth="1" min="4" max="4"/>
  </cols>
  <sheetData>
    <row r="1" ht="24" customHeight="1">
      <c r="A1" s="43" t="inlineStr">
        <is>
          <t>OTs BIA Exitosas — EN OPEX con COSTO $0 (54 OTs)</t>
        </is>
      </c>
    </row>
    <row r="2">
      <c r="A2" s="4" t="n"/>
      <c r="B2" s="4" t="n"/>
      <c r="C2" s="4" t="n"/>
      <c r="D2" s="4" t="n"/>
    </row>
    <row r="3">
      <c r="A3" s="33" t="inlineStr">
        <is>
          <t>BICH_CO0100005114_1111426904</t>
        </is>
      </c>
      <c r="B3" s="34" t="inlineStr">
        <is>
          <t>BICH</t>
        </is>
      </c>
      <c r="C3" s="31" t="inlineStr">
        <is>
          <t>CO0100005114</t>
        </is>
      </c>
      <c r="D3" s="44" t="inlineStr">
        <is>
          <t>pending — sin liquidar</t>
        </is>
      </c>
    </row>
    <row r="4">
      <c r="A4" s="36" t="inlineStr">
        <is>
          <t>BICH_CO0100005115_1111530542</t>
        </is>
      </c>
      <c r="B4" s="37" t="inlineStr">
        <is>
          <t>BICH</t>
        </is>
      </c>
      <c r="C4" s="28" t="inlineStr">
        <is>
          <t>CO0100005115</t>
        </is>
      </c>
      <c r="D4" s="45" t="inlineStr">
        <is>
          <t>pending — sin liquidar</t>
        </is>
      </c>
    </row>
    <row r="5">
      <c r="A5" s="33" t="inlineStr">
        <is>
          <t>DESX_CO0100001632_1063615351</t>
        </is>
      </c>
      <c r="B5" s="34" t="inlineStr">
        <is>
          <t>DESX</t>
        </is>
      </c>
      <c r="C5" s="31" t="inlineStr">
        <is>
          <t>CO0100001632</t>
        </is>
      </c>
      <c r="D5" s="44" t="inlineStr">
        <is>
          <t>pending — sin liquidar</t>
        </is>
      </c>
    </row>
    <row r="6">
      <c r="A6" s="36" t="inlineStr">
        <is>
          <t>DESX_CO1150000239_1079912223</t>
        </is>
      </c>
      <c r="B6" s="37" t="inlineStr">
        <is>
          <t>DESX</t>
        </is>
      </c>
      <c r="C6" s="28" t="inlineStr">
        <is>
          <t>CO1150000239</t>
        </is>
      </c>
      <c r="D6" s="45" t="inlineStr">
        <is>
          <t>pending — sin liquidar</t>
        </is>
      </c>
    </row>
    <row r="7">
      <c r="A7" s="33" t="inlineStr">
        <is>
          <t>INFR_CO0100001488_1175533738</t>
        </is>
      </c>
      <c r="B7" s="34" t="inlineStr">
        <is>
          <t>INFR</t>
        </is>
      </c>
      <c r="C7" s="31" t="inlineStr">
        <is>
          <t>CO0100001488</t>
        </is>
      </c>
      <c r="D7" s="44" t="inlineStr">
        <is>
          <t>pending — sin liquidar</t>
        </is>
      </c>
    </row>
    <row r="8">
      <c r="A8" s="36" t="inlineStr">
        <is>
          <t>INFR_CO0100001762_1163121621</t>
        </is>
      </c>
      <c r="B8" s="37" t="inlineStr">
        <is>
          <t>INFR</t>
        </is>
      </c>
      <c r="C8" s="28" t="inlineStr">
        <is>
          <t>CO0100001762</t>
        </is>
      </c>
      <c r="D8" s="45" t="inlineStr">
        <is>
          <t>pending — sin liquidar</t>
        </is>
      </c>
    </row>
    <row r="9">
      <c r="A9" s="33" t="inlineStr">
        <is>
          <t>INFR_CO0400002518_1177863479</t>
        </is>
      </c>
      <c r="B9" s="34" t="inlineStr">
        <is>
          <t>INFR</t>
        </is>
      </c>
      <c r="C9" s="31" t="inlineStr">
        <is>
          <t>CO0400002518</t>
        </is>
      </c>
      <c r="D9" s="44" t="inlineStr">
        <is>
          <t>pending — sin liquidar</t>
        </is>
      </c>
    </row>
    <row r="10">
      <c r="A10" s="36" t="inlineStr">
        <is>
          <t>INFR_CO0400002617_1103507024</t>
        </is>
      </c>
      <c r="B10" s="37" t="inlineStr">
        <is>
          <t>INFR</t>
        </is>
      </c>
      <c r="C10" s="28" t="inlineStr">
        <is>
          <t>CO0400002617</t>
        </is>
      </c>
      <c r="D10" s="45" t="inlineStr">
        <is>
          <t>pending — sin liquidar</t>
        </is>
      </c>
    </row>
    <row r="11">
      <c r="A11" s="33" t="inlineStr">
        <is>
          <t>INFR_CO0500002768_1071717314</t>
        </is>
      </c>
      <c r="B11" s="34" t="inlineStr">
        <is>
          <t>INFR</t>
        </is>
      </c>
      <c r="C11" s="31" t="inlineStr">
        <is>
          <t>CO0500002768</t>
        </is>
      </c>
      <c r="D11" s="44" t="inlineStr">
        <is>
          <t>pending — sin liquidar</t>
        </is>
      </c>
    </row>
    <row r="12">
      <c r="A12" s="36" t="inlineStr">
        <is>
          <t>INST_CO0100004609_1080949360</t>
        </is>
      </c>
      <c r="B12" s="37" t="inlineStr">
        <is>
          <t>INST</t>
        </is>
      </c>
      <c r="C12" s="28" t="inlineStr">
        <is>
          <t>CO0100004609</t>
        </is>
      </c>
      <c r="D12" s="45" t="inlineStr">
        <is>
          <t>pending — sin liquidar</t>
        </is>
      </c>
    </row>
    <row r="13">
      <c r="A13" s="33" t="inlineStr">
        <is>
          <t>INST_CO0100004650_1105739958</t>
        </is>
      </c>
      <c r="B13" s="34" t="inlineStr">
        <is>
          <t>INST</t>
        </is>
      </c>
      <c r="C13" s="31" t="inlineStr">
        <is>
          <t>CO0100004650</t>
        </is>
      </c>
      <c r="D13" s="44" t="inlineStr">
        <is>
          <t>pending — sin liquidar</t>
        </is>
      </c>
    </row>
    <row r="14">
      <c r="A14" s="36" t="inlineStr">
        <is>
          <t>INST_CO0100004665_1151016492</t>
        </is>
      </c>
      <c r="B14" s="37" t="inlineStr">
        <is>
          <t>INST</t>
        </is>
      </c>
      <c r="C14" s="28" t="inlineStr">
        <is>
          <t>CO0100004665</t>
        </is>
      </c>
      <c r="D14" s="45" t="inlineStr">
        <is>
          <t>pending — sin liquidar</t>
        </is>
      </c>
    </row>
    <row r="15">
      <c r="A15" s="33" t="inlineStr">
        <is>
          <t>INST_CO0100004766_1122197219</t>
        </is>
      </c>
      <c r="B15" s="34" t="inlineStr">
        <is>
          <t>INST</t>
        </is>
      </c>
      <c r="C15" s="31" t="inlineStr">
        <is>
          <t>CO0100004766</t>
        </is>
      </c>
      <c r="D15" s="44" t="inlineStr">
        <is>
          <t>pending — sin liquidar</t>
        </is>
      </c>
    </row>
    <row r="16">
      <c r="A16" s="36" t="inlineStr">
        <is>
          <t>INST_CO0100004795_1104781824</t>
        </is>
      </c>
      <c r="B16" s="37" t="inlineStr">
        <is>
          <t>INST</t>
        </is>
      </c>
      <c r="C16" s="28" t="inlineStr">
        <is>
          <t>CO0100004795</t>
        </is>
      </c>
      <c r="D16" s="45" t="inlineStr">
        <is>
          <t>pending — sin liquidar</t>
        </is>
      </c>
    </row>
    <row r="17">
      <c r="A17" s="33" t="inlineStr">
        <is>
          <t>INST_CO0100004816_1127503527</t>
        </is>
      </c>
      <c r="B17" s="34" t="inlineStr">
        <is>
          <t>INST</t>
        </is>
      </c>
      <c r="C17" s="31" t="inlineStr">
        <is>
          <t>CO0100004816</t>
        </is>
      </c>
      <c r="D17" s="44" t="inlineStr">
        <is>
          <t>pending — sin liquidar</t>
        </is>
      </c>
    </row>
    <row r="18">
      <c r="A18" s="36" t="inlineStr">
        <is>
          <t>INST_CO0100005173_1149379140</t>
        </is>
      </c>
      <c r="B18" s="37" t="inlineStr">
        <is>
          <t>INST</t>
        </is>
      </c>
      <c r="C18" s="28" t="inlineStr">
        <is>
          <t>CO0100005173</t>
        </is>
      </c>
      <c r="D18" s="45" t="inlineStr">
        <is>
          <t>pending — sin liquidar</t>
        </is>
      </c>
    </row>
    <row r="19">
      <c r="A19" s="33" t="inlineStr">
        <is>
          <t>INST_CO0500003263_1094529464</t>
        </is>
      </c>
      <c r="B19" s="34" t="inlineStr">
        <is>
          <t>INST</t>
        </is>
      </c>
      <c r="C19" s="31" t="inlineStr">
        <is>
          <t>CO0500003263</t>
        </is>
      </c>
      <c r="D19" s="44" t="inlineStr">
        <is>
          <t>pending — sin liquidar</t>
        </is>
      </c>
    </row>
    <row r="20">
      <c r="A20" s="36" t="inlineStr">
        <is>
          <t>INST_CO0500003395_1130160207</t>
        </is>
      </c>
      <c r="B20" s="37" t="inlineStr">
        <is>
          <t>INST</t>
        </is>
      </c>
      <c r="C20" s="28" t="inlineStr">
        <is>
          <t>CO0500003395</t>
        </is>
      </c>
      <c r="D20" s="45" t="inlineStr">
        <is>
          <t>pending — sin liquidar</t>
        </is>
      </c>
    </row>
    <row r="21">
      <c r="A21" s="33" t="inlineStr">
        <is>
          <t>INST_CO0500003554_1094527591</t>
        </is>
      </c>
      <c r="B21" s="34" t="inlineStr">
        <is>
          <t>INST</t>
        </is>
      </c>
      <c r="C21" s="31" t="inlineStr">
        <is>
          <t>CO0500003554</t>
        </is>
      </c>
      <c r="D21" s="44" t="inlineStr">
        <is>
          <t>pending — sin liquidar</t>
        </is>
      </c>
    </row>
    <row r="22">
      <c r="A22" s="36" t="inlineStr">
        <is>
          <t>INST_CO0500004462_1053834711</t>
        </is>
      </c>
      <c r="B22" s="37" t="inlineStr">
        <is>
          <t>INST</t>
        </is>
      </c>
      <c r="C22" s="28" t="inlineStr">
        <is>
          <t>CO0500004462</t>
        </is>
      </c>
      <c r="D22" s="45" t="inlineStr">
        <is>
          <t>pending — sin liquidar</t>
        </is>
      </c>
    </row>
    <row r="23">
      <c r="A23" s="33" t="inlineStr">
        <is>
          <t>INST_CO0500004465_1121768498</t>
        </is>
      </c>
      <c r="B23" s="34" t="inlineStr">
        <is>
          <t>INST</t>
        </is>
      </c>
      <c r="C23" s="31" t="inlineStr">
        <is>
          <t>CO0500004465</t>
        </is>
      </c>
      <c r="D23" s="44" t="inlineStr">
        <is>
          <t>pending — sin liquidar</t>
        </is>
      </c>
    </row>
    <row r="24">
      <c r="A24" s="36" t="inlineStr">
        <is>
          <t>INST_CO0500005653_1163083794</t>
        </is>
      </c>
      <c r="B24" s="37" t="inlineStr">
        <is>
          <t>INST</t>
        </is>
      </c>
      <c r="C24" s="28" t="inlineStr">
        <is>
          <t>CO0500005653</t>
        </is>
      </c>
      <c r="D24" s="45" t="inlineStr">
        <is>
          <t>pending — sin liquidar</t>
        </is>
      </c>
    </row>
    <row r="25">
      <c r="A25" s="33" t="inlineStr">
        <is>
          <t>LEGA_CO0100003901_1056944864</t>
        </is>
      </c>
      <c r="B25" s="34" t="inlineStr">
        <is>
          <t>LEGA</t>
        </is>
      </c>
      <c r="C25" s="31" t="inlineStr">
        <is>
          <t>CO0100003901</t>
        </is>
      </c>
      <c r="D25" s="44" t="inlineStr">
        <is>
          <t>pending — sin liquidar</t>
        </is>
      </c>
    </row>
    <row r="26">
      <c r="A26" s="36" t="inlineStr">
        <is>
          <t>LEGA_CO0100003902_1056982343</t>
        </is>
      </c>
      <c r="B26" s="37" t="inlineStr">
        <is>
          <t>LEGA</t>
        </is>
      </c>
      <c r="C26" s="28" t="inlineStr">
        <is>
          <t>CO0100003902</t>
        </is>
      </c>
      <c r="D26" s="45" t="inlineStr">
        <is>
          <t>pending — sin liquidar</t>
        </is>
      </c>
    </row>
    <row r="27">
      <c r="A27" s="33" t="inlineStr">
        <is>
          <t>LEGA_CO0100004633_1081910052</t>
        </is>
      </c>
      <c r="B27" s="34" t="inlineStr">
        <is>
          <t>LEGA</t>
        </is>
      </c>
      <c r="C27" s="31" t="inlineStr">
        <is>
          <t>CO0100004633</t>
        </is>
      </c>
      <c r="D27" s="44" t="inlineStr">
        <is>
          <t>pending — sin liquidar</t>
        </is>
      </c>
    </row>
    <row r="28">
      <c r="A28" s="36" t="inlineStr">
        <is>
          <t>NOCO_CO0100002097_1085712338</t>
        </is>
      </c>
      <c r="B28" s="37" t="inlineStr">
        <is>
          <t>NOCO</t>
        </is>
      </c>
      <c r="C28" s="28" t="inlineStr">
        <is>
          <t>CO0100002097</t>
        </is>
      </c>
      <c r="D28" s="45" t="inlineStr">
        <is>
          <t>pending — sin liquidar</t>
        </is>
      </c>
    </row>
    <row r="29">
      <c r="A29" s="33" t="inlineStr">
        <is>
          <t>NOTE_CO0100001210_1117780926</t>
        </is>
      </c>
      <c r="B29" s="34" t="inlineStr">
        <is>
          <t>NOTE</t>
        </is>
      </c>
      <c r="C29" s="31" t="inlineStr">
        <is>
          <t>CO0100001210</t>
        </is>
      </c>
      <c r="D29" s="44" t="inlineStr">
        <is>
          <t>pending — sin liquidar</t>
        </is>
      </c>
    </row>
    <row r="30">
      <c r="A30" s="36" t="inlineStr">
        <is>
          <t>NOTE_CO0100001269_1163329862</t>
        </is>
      </c>
      <c r="B30" s="37" t="inlineStr">
        <is>
          <t>NOTE</t>
        </is>
      </c>
      <c r="C30" s="28" t="inlineStr">
        <is>
          <t>CO0100001269</t>
        </is>
      </c>
      <c r="D30" s="45" t="inlineStr">
        <is>
          <t>pending — sin liquidar</t>
        </is>
      </c>
    </row>
    <row r="31">
      <c r="A31" s="33" t="inlineStr">
        <is>
          <t>NOTE_CO0100002161_1072967435</t>
        </is>
      </c>
      <c r="B31" s="34" t="inlineStr">
        <is>
          <t>NOTE</t>
        </is>
      </c>
      <c r="C31" s="31" t="inlineStr">
        <is>
          <t>CO0100002161</t>
        </is>
      </c>
      <c r="D31" s="44" t="inlineStr">
        <is>
          <t>pending — sin liquidar</t>
        </is>
      </c>
    </row>
    <row r="32">
      <c r="A32" s="36" t="inlineStr">
        <is>
          <t>NOTE_CO0100004950_1173163675</t>
        </is>
      </c>
      <c r="B32" s="37" t="inlineStr">
        <is>
          <t>NOTE</t>
        </is>
      </c>
      <c r="C32" s="28" t="inlineStr">
        <is>
          <t>CO0100004950</t>
        </is>
      </c>
      <c r="D32" s="45" t="inlineStr">
        <is>
          <t>pending — sin liquidar</t>
        </is>
      </c>
    </row>
    <row r="33">
      <c r="A33" s="33" t="inlineStr">
        <is>
          <t>NOTE_CO0400001373_1165278855</t>
        </is>
      </c>
      <c r="B33" s="34" t="inlineStr">
        <is>
          <t>NOTE</t>
        </is>
      </c>
      <c r="C33" s="31" t="inlineStr">
        <is>
          <t>CO0400001373</t>
        </is>
      </c>
      <c r="D33" s="44" t="inlineStr">
        <is>
          <t>pending — sin liquidar</t>
        </is>
      </c>
    </row>
    <row r="34">
      <c r="A34" s="36" t="inlineStr">
        <is>
          <t>NOTE_CO0400003952_1076107184</t>
        </is>
      </c>
      <c r="B34" s="37" t="inlineStr">
        <is>
          <t>NOTE</t>
        </is>
      </c>
      <c r="C34" s="28" t="inlineStr">
        <is>
          <t>CO0400003952</t>
        </is>
      </c>
      <c r="D34" s="45" t="inlineStr">
        <is>
          <t>pending — sin liquidar</t>
        </is>
      </c>
    </row>
    <row r="35">
      <c r="A35" s="33" t="inlineStr">
        <is>
          <t>NOTE_CO0500000943_1098313909</t>
        </is>
      </c>
      <c r="B35" s="34" t="inlineStr">
        <is>
          <t>NOTE</t>
        </is>
      </c>
      <c r="C35" s="31" t="inlineStr">
        <is>
          <t>CO0500000943</t>
        </is>
      </c>
      <c r="D35" s="44" t="inlineStr">
        <is>
          <t>pending — sin liquidar</t>
        </is>
      </c>
    </row>
    <row r="36">
      <c r="A36" s="36" t="inlineStr">
        <is>
          <t>NOTE_CO0500001377_1178083512</t>
        </is>
      </c>
      <c r="B36" s="37" t="inlineStr">
        <is>
          <t>NOTE</t>
        </is>
      </c>
      <c r="C36" s="28" t="inlineStr">
        <is>
          <t>CO0500001377</t>
        </is>
      </c>
      <c r="D36" s="45" t="inlineStr">
        <is>
          <t>pending — sin liquidar</t>
        </is>
      </c>
    </row>
    <row r="37">
      <c r="A37" s="33" t="inlineStr">
        <is>
          <t>NOTE_CO0500003393_1152411606</t>
        </is>
      </c>
      <c r="B37" s="34" t="inlineStr">
        <is>
          <t>NOTE</t>
        </is>
      </c>
      <c r="C37" s="31" t="inlineStr">
        <is>
          <t>CO0500003393</t>
        </is>
      </c>
      <c r="D37" s="44" t="inlineStr">
        <is>
          <t>pending — sin liquidar</t>
        </is>
      </c>
    </row>
    <row r="38">
      <c r="A38" s="36" t="inlineStr">
        <is>
          <t>NOTE_CO0500003739_1149155955</t>
        </is>
      </c>
      <c r="B38" s="37" t="inlineStr">
        <is>
          <t>NOTE</t>
        </is>
      </c>
      <c r="C38" s="28" t="inlineStr">
        <is>
          <t>CO0500003739</t>
        </is>
      </c>
      <c r="D38" s="45" t="inlineStr">
        <is>
          <t>pending — sin liquidar</t>
        </is>
      </c>
    </row>
    <row r="39">
      <c r="A39" s="33" t="inlineStr">
        <is>
          <t>NOTE_CO1140000227_1155600083</t>
        </is>
      </c>
      <c r="B39" s="34" t="inlineStr">
        <is>
          <t>NOTE</t>
        </is>
      </c>
      <c r="C39" s="31" t="inlineStr">
        <is>
          <t>CO1140000227</t>
        </is>
      </c>
      <c r="D39" s="44" t="inlineStr">
        <is>
          <t>pending — sin liquidar</t>
        </is>
      </c>
    </row>
    <row r="40">
      <c r="A40" s="36" t="inlineStr">
        <is>
          <t>NOTE_CO57114030_1053640162</t>
        </is>
      </c>
      <c r="B40" s="37" t="inlineStr">
        <is>
          <t>NOTE</t>
        </is>
      </c>
      <c r="C40" s="28" t="inlineStr">
        <is>
          <t>CO57114030</t>
        </is>
      </c>
      <c r="D40" s="45" t="inlineStr">
        <is>
          <t>pending — sin liquidar</t>
        </is>
      </c>
    </row>
    <row r="41">
      <c r="A41" s="33" t="inlineStr">
        <is>
          <t>NOTE_Co0500003031_1053751805</t>
        </is>
      </c>
      <c r="B41" s="34" t="inlineStr">
        <is>
          <t>NOTE</t>
        </is>
      </c>
      <c r="C41" s="31" t="inlineStr">
        <is>
          <t>Co0500003031</t>
        </is>
      </c>
      <c r="D41" s="44" t="inlineStr">
        <is>
          <t>pending — sin liquidar</t>
        </is>
      </c>
    </row>
    <row r="42">
      <c r="A42" s="36" t="inlineStr">
        <is>
          <t>RDEP_CO0400000752_1089380177</t>
        </is>
      </c>
      <c r="B42" s="37" t="inlineStr">
        <is>
          <t>RDEP</t>
        </is>
      </c>
      <c r="C42" s="28" t="inlineStr">
        <is>
          <t>CO0400000752</t>
        </is>
      </c>
      <c r="D42" s="45" t="inlineStr">
        <is>
          <t>pending — sin liquidar</t>
        </is>
      </c>
    </row>
    <row r="43">
      <c r="A43" s="33" t="inlineStr">
        <is>
          <t>VERF_CO0100001269_1141316002</t>
        </is>
      </c>
      <c r="B43" s="34" t="inlineStr">
        <is>
          <t>VERF</t>
        </is>
      </c>
      <c r="C43" s="31" t="inlineStr">
        <is>
          <t>CO0100001269</t>
        </is>
      </c>
      <c r="D43" s="44" t="inlineStr">
        <is>
          <t>pending — sin liquidar</t>
        </is>
      </c>
    </row>
    <row r="44">
      <c r="A44" s="36" t="inlineStr">
        <is>
          <t>VICO_CO0100001782_1154532232</t>
        </is>
      </c>
      <c r="B44" s="37" t="inlineStr">
        <is>
          <t>VICO</t>
        </is>
      </c>
      <c r="C44" s="28" t="inlineStr">
        <is>
          <t>CO0100001782</t>
        </is>
      </c>
      <c r="D44" s="45" t="inlineStr">
        <is>
          <t>pending — sin liquidar</t>
        </is>
      </c>
    </row>
    <row r="45">
      <c r="A45" s="33" t="inlineStr">
        <is>
          <t>VICO_CO0500001004_1060548780</t>
        </is>
      </c>
      <c r="B45" s="34" t="inlineStr">
        <is>
          <t>VICO</t>
        </is>
      </c>
      <c r="C45" s="31" t="inlineStr">
        <is>
          <t>CO0500001004</t>
        </is>
      </c>
      <c r="D45" s="44" t="inlineStr">
        <is>
          <t>pending — sin liquidar</t>
        </is>
      </c>
    </row>
    <row r="46">
      <c r="A46" s="36" t="inlineStr">
        <is>
          <t>VICO_CO0500001755_1061124496</t>
        </is>
      </c>
      <c r="B46" s="37" t="inlineStr">
        <is>
          <t>VICO</t>
        </is>
      </c>
      <c r="C46" s="28" t="inlineStr">
        <is>
          <t>CO0500001755</t>
        </is>
      </c>
      <c r="D46" s="45" t="inlineStr">
        <is>
          <t>pending — sin liquidar</t>
        </is>
      </c>
    </row>
    <row r="47">
      <c r="A47" s="33" t="inlineStr">
        <is>
          <t>VICO_CO0500002351_1075284983</t>
        </is>
      </c>
      <c r="B47" s="34" t="inlineStr">
        <is>
          <t>VICO</t>
        </is>
      </c>
      <c r="C47" s="31" t="inlineStr">
        <is>
          <t>CO0500002351</t>
        </is>
      </c>
      <c r="D47" s="44" t="inlineStr">
        <is>
          <t>pending — sin liquidar</t>
        </is>
      </c>
    </row>
    <row r="48">
      <c r="A48" s="36" t="inlineStr">
        <is>
          <t>VIPE_CO0100004048_1069428854</t>
        </is>
      </c>
      <c r="B48" s="37" t="inlineStr">
        <is>
          <t>VIPE</t>
        </is>
      </c>
      <c r="C48" s="28" t="inlineStr">
        <is>
          <t>CO0100004048</t>
        </is>
      </c>
      <c r="D48" s="45" t="inlineStr">
        <is>
          <t>pending — sin liquidar</t>
        </is>
      </c>
    </row>
    <row r="49">
      <c r="A49" s="33" t="inlineStr">
        <is>
          <t>VIPE_CO0100004605_1066231508</t>
        </is>
      </c>
      <c r="B49" s="34" t="inlineStr">
        <is>
          <t>VIPE</t>
        </is>
      </c>
      <c r="C49" s="31" t="inlineStr">
        <is>
          <t>CO0100004605</t>
        </is>
      </c>
      <c r="D49" s="44" t="inlineStr">
        <is>
          <t>pending — sin liquidar</t>
        </is>
      </c>
    </row>
    <row r="50">
      <c r="A50" s="36" t="inlineStr">
        <is>
          <t>VIPE_CO0100004652_1076801792</t>
        </is>
      </c>
      <c r="B50" s="37" t="inlineStr">
        <is>
          <t>VIPE</t>
        </is>
      </c>
      <c r="C50" s="28" t="inlineStr">
        <is>
          <t>CO0100004652</t>
        </is>
      </c>
      <c r="D50" s="45" t="inlineStr">
        <is>
          <t>pending — sin liquidar</t>
        </is>
      </c>
    </row>
    <row r="51">
      <c r="A51" s="33" t="inlineStr">
        <is>
          <t>VIPE_CO0100004806_1097065484</t>
        </is>
      </c>
      <c r="B51" s="34" t="inlineStr">
        <is>
          <t>VIPE</t>
        </is>
      </c>
      <c r="C51" s="31" t="inlineStr">
        <is>
          <t>CO0100004806</t>
        </is>
      </c>
      <c r="D51" s="44" t="inlineStr">
        <is>
          <t>pending — sin liquidar</t>
        </is>
      </c>
    </row>
    <row r="52">
      <c r="A52" s="36" t="inlineStr">
        <is>
          <t>VIPE_CO0100005168_1140175477</t>
        </is>
      </c>
      <c r="B52" s="37" t="inlineStr">
        <is>
          <t>VIPE</t>
        </is>
      </c>
      <c r="C52" s="28" t="inlineStr">
        <is>
          <t>CO0100005168</t>
        </is>
      </c>
      <c r="D52" s="45" t="inlineStr">
        <is>
          <t>pending — sin liquidar</t>
        </is>
      </c>
    </row>
    <row r="53">
      <c r="A53" s="33" t="inlineStr">
        <is>
          <t>VIPE_CO0100005559_1178263384</t>
        </is>
      </c>
      <c r="B53" s="34" t="inlineStr">
        <is>
          <t>VIPE</t>
        </is>
      </c>
      <c r="C53" s="31" t="inlineStr">
        <is>
          <t>CO0100005559</t>
        </is>
      </c>
      <c r="D53" s="44" t="inlineStr">
        <is>
          <t>pending — sin liquidar</t>
        </is>
      </c>
    </row>
    <row r="54">
      <c r="A54" s="36" t="inlineStr">
        <is>
          <t>VIPE_CO0400005130_1098750644</t>
        </is>
      </c>
      <c r="B54" s="37" t="inlineStr">
        <is>
          <t>VIPE</t>
        </is>
      </c>
      <c r="C54" s="28" t="inlineStr">
        <is>
          <t>CO0400005130</t>
        </is>
      </c>
      <c r="D54" s="45" t="inlineStr">
        <is>
          <t>pending — sin liquidar</t>
        </is>
      </c>
    </row>
    <row r="55">
      <c r="A55" s="33" t="inlineStr">
        <is>
          <t>VIPE_CO0500003518_1057772801</t>
        </is>
      </c>
      <c r="B55" s="34" t="inlineStr">
        <is>
          <t>VIPE</t>
        </is>
      </c>
      <c r="C55" s="31" t="inlineStr">
        <is>
          <t>CO0500003518</t>
        </is>
      </c>
      <c r="D55" s="44" t="inlineStr">
        <is>
          <t>pending — sin liquidar</t>
        </is>
      </c>
    </row>
    <row r="56">
      <c r="A56" s="36" t="inlineStr">
        <is>
          <t>VIPE_CO0500004706_1088587773</t>
        </is>
      </c>
      <c r="B56" s="37" t="inlineStr">
        <is>
          <t>VIPE</t>
        </is>
      </c>
      <c r="C56" s="28" t="inlineStr">
        <is>
          <t>CO0500004706</t>
        </is>
      </c>
      <c r="D56" s="45" t="inlineStr">
        <is>
          <t>pending — sin liquidar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32" t="inlineStr">
        <is>
          <t>Distribución por Tipo de OT</t>
        </is>
      </c>
    </row>
    <row r="2">
      <c r="A2" s="4" t="n"/>
      <c r="B2" s="4" t="n"/>
      <c r="C2" s="4" t="n"/>
      <c r="D2" s="4" t="n"/>
      <c r="E2" s="4" t="n"/>
    </row>
    <row r="3">
      <c r="A3" s="28" t="inlineStr">
        <is>
          <t>NOTE</t>
        </is>
      </c>
      <c r="B3" s="37" t="n">
        <v>103</v>
      </c>
      <c r="C3" s="37" t="n">
        <v>13</v>
      </c>
      <c r="D3" s="46" t="n">
        <v>116</v>
      </c>
      <c r="E3" s="47">
        <f>116/478</f>
        <v/>
      </c>
    </row>
    <row r="4">
      <c r="A4" s="31" t="inlineStr">
        <is>
          <t>VIPE</t>
        </is>
      </c>
      <c r="B4" s="34" t="n">
        <v>28</v>
      </c>
      <c r="C4" s="34" t="n">
        <v>9</v>
      </c>
      <c r="D4" s="48" t="n">
        <v>37</v>
      </c>
      <c r="E4" s="49">
        <f>37/302</f>
        <v/>
      </c>
    </row>
    <row r="5">
      <c r="A5" s="28" t="inlineStr">
        <is>
          <t>TLIS</t>
        </is>
      </c>
      <c r="B5" s="37" t="n">
        <v>33</v>
      </c>
      <c r="C5" s="37" t="n">
        <v>0</v>
      </c>
      <c r="D5" s="46" t="n">
        <v>33</v>
      </c>
      <c r="E5" s="47">
        <f>33/166</f>
        <v/>
      </c>
    </row>
    <row r="6">
      <c r="A6" s="31" t="inlineStr">
        <is>
          <t>INST</t>
        </is>
      </c>
      <c r="B6" s="34" t="n">
        <v>11</v>
      </c>
      <c r="C6" s="34" t="n">
        <v>13</v>
      </c>
      <c r="D6" s="48" t="n">
        <v>24</v>
      </c>
      <c r="E6" s="49">
        <f>24/244</f>
        <v/>
      </c>
    </row>
    <row r="7">
      <c r="A7" s="28" t="inlineStr">
        <is>
          <t>DESX</t>
        </is>
      </c>
      <c r="B7" s="37" t="n">
        <v>13</v>
      </c>
      <c r="C7" s="37" t="n">
        <v>2</v>
      </c>
      <c r="D7" s="46" t="n">
        <v>15</v>
      </c>
      <c r="E7" s="47">
        <f>15/169</f>
        <v/>
      </c>
    </row>
    <row r="8">
      <c r="A8" s="31" t="inlineStr">
        <is>
          <t>ALCO</t>
        </is>
      </c>
      <c r="B8" s="34" t="n">
        <v>14</v>
      </c>
      <c r="C8" s="34" t="n">
        <v>0</v>
      </c>
      <c r="D8" s="48" t="n">
        <v>14</v>
      </c>
      <c r="E8" s="49">
        <f>14/18</f>
        <v/>
      </c>
    </row>
    <row r="9">
      <c r="A9" s="28" t="inlineStr">
        <is>
          <t>VICO</t>
        </is>
      </c>
      <c r="B9" s="37" t="n">
        <v>7</v>
      </c>
      <c r="C9" s="37" t="n">
        <v>4</v>
      </c>
      <c r="D9" s="46" t="n">
        <v>11</v>
      </c>
      <c r="E9" s="47">
        <f>11/80</f>
        <v/>
      </c>
    </row>
    <row r="10">
      <c r="A10" s="31" t="inlineStr">
        <is>
          <t>INFR</t>
        </is>
      </c>
      <c r="B10" s="34" t="n">
        <v>6</v>
      </c>
      <c r="C10" s="34" t="n">
        <v>5</v>
      </c>
      <c r="D10" s="48" t="n">
        <v>11</v>
      </c>
      <c r="E10" s="49">
        <f>11/136</f>
        <v/>
      </c>
    </row>
    <row r="11">
      <c r="A11" s="28" t="inlineStr">
        <is>
          <t>LEGA</t>
        </is>
      </c>
      <c r="B11" s="37" t="n">
        <v>3</v>
      </c>
      <c r="C11" s="37" t="n">
        <v>3</v>
      </c>
      <c r="D11" s="46" t="n">
        <v>6</v>
      </c>
      <c r="E11" s="47">
        <f>6/117</f>
        <v/>
      </c>
    </row>
    <row r="12">
      <c r="A12" s="31" t="inlineStr">
        <is>
          <t>ALRT</t>
        </is>
      </c>
      <c r="B12" s="34" t="n">
        <v>5</v>
      </c>
      <c r="C12" s="34" t="n">
        <v>0</v>
      </c>
      <c r="D12" s="48" t="n">
        <v>5</v>
      </c>
      <c r="E12" s="49">
        <f>5/33</f>
        <v/>
      </c>
    </row>
    <row r="13">
      <c r="A13" s="28" t="inlineStr">
        <is>
          <t>RECX</t>
        </is>
      </c>
      <c r="B13" s="37" t="n">
        <v>4</v>
      </c>
      <c r="C13" s="37" t="n">
        <v>0</v>
      </c>
      <c r="D13" s="46" t="n">
        <v>4</v>
      </c>
      <c r="E13" s="47">
        <f>4/15</f>
        <v/>
      </c>
    </row>
    <row r="14">
      <c r="A14" s="31" t="inlineStr">
        <is>
          <t>NOAL</t>
        </is>
      </c>
      <c r="B14" s="34" t="n">
        <v>4</v>
      </c>
      <c r="C14" s="34" t="n">
        <v>0</v>
      </c>
      <c r="D14" s="48" t="n">
        <v>4</v>
      </c>
      <c r="E14" s="49">
        <f>4/21</f>
        <v/>
      </c>
    </row>
    <row r="15">
      <c r="A15" s="28" t="inlineStr">
        <is>
          <t>VEXT</t>
        </is>
      </c>
      <c r="B15" s="37" t="n">
        <v>3</v>
      </c>
      <c r="C15" s="37" t="n">
        <v>0</v>
      </c>
      <c r="D15" s="46" t="n">
        <v>3</v>
      </c>
      <c r="E15" s="47">
        <f>3/3</f>
        <v/>
      </c>
    </row>
    <row r="16">
      <c r="A16" s="31" t="inlineStr">
        <is>
          <t>REQA</t>
        </is>
      </c>
      <c r="B16" s="34" t="n">
        <v>3</v>
      </c>
      <c r="C16" s="34" t="n">
        <v>0</v>
      </c>
      <c r="D16" s="48" t="n">
        <v>3</v>
      </c>
      <c r="E16" s="49">
        <f>3/19</f>
        <v/>
      </c>
    </row>
    <row r="17">
      <c r="A17" s="28" t="inlineStr">
        <is>
          <t>VERF</t>
        </is>
      </c>
      <c r="B17" s="37" t="n">
        <v>2</v>
      </c>
      <c r="C17" s="37" t="n">
        <v>1</v>
      </c>
      <c r="D17" s="46" t="n">
        <v>3</v>
      </c>
      <c r="E17" s="47">
        <f>3/31</f>
        <v/>
      </c>
    </row>
    <row r="18">
      <c r="A18" s="31" t="inlineStr">
        <is>
          <t>NOCO</t>
        </is>
      </c>
      <c r="B18" s="34" t="n">
        <v>1</v>
      </c>
      <c r="C18" s="34" t="n">
        <v>1</v>
      </c>
      <c r="D18" s="48" t="n">
        <v>2</v>
      </c>
      <c r="E18" s="49">
        <f>2/27</f>
        <v/>
      </c>
    </row>
    <row r="19">
      <c r="A19" s="28" t="inlineStr">
        <is>
          <t>BICH</t>
        </is>
      </c>
      <c r="B19" s="37" t="n">
        <v>0</v>
      </c>
      <c r="C19" s="37" t="n">
        <v>2</v>
      </c>
      <c r="D19" s="46" t="n">
        <v>2</v>
      </c>
      <c r="E19" s="47">
        <f>2/15</f>
        <v/>
      </c>
    </row>
    <row r="20">
      <c r="A20" s="31" t="inlineStr">
        <is>
          <t>RDEP</t>
        </is>
      </c>
      <c r="B20" s="34" t="n">
        <v>1</v>
      </c>
      <c r="C20" s="34" t="n">
        <v>1</v>
      </c>
      <c r="D20" s="48" t="n">
        <v>2</v>
      </c>
      <c r="E20" s="49">
        <f>2/19</f>
        <v/>
      </c>
    </row>
    <row r="21">
      <c r="A21" s="28" t="inlineStr">
        <is>
          <t>PQRS</t>
        </is>
      </c>
      <c r="B21" s="37" t="n">
        <v>2</v>
      </c>
      <c r="C21" s="37" t="n">
        <v>0</v>
      </c>
      <c r="D21" s="46" t="n">
        <v>2</v>
      </c>
      <c r="E21" s="47">
        <f>2/30</f>
        <v/>
      </c>
    </row>
    <row r="22">
      <c r="A22" s="31" t="inlineStr">
        <is>
          <t>NORM</t>
        </is>
      </c>
      <c r="B22" s="34" t="n">
        <v>2</v>
      </c>
      <c r="C22" s="34" t="n">
        <v>0</v>
      </c>
      <c r="D22" s="48" t="n">
        <v>2</v>
      </c>
      <c r="E22" s="49">
        <f>2/17</f>
        <v/>
      </c>
    </row>
    <row r="23">
      <c r="A23" s="28" t="inlineStr">
        <is>
          <t>PREB</t>
        </is>
      </c>
      <c r="B23" s="37" t="n">
        <v>2</v>
      </c>
      <c r="C23" s="37" t="n">
        <v>0</v>
      </c>
      <c r="D23" s="46" t="n">
        <v>2</v>
      </c>
      <c r="E23" s="47">
        <f>2/11</f>
        <v/>
      </c>
    </row>
    <row r="24">
      <c r="A24" s="31" t="inlineStr">
        <is>
          <t>COND</t>
        </is>
      </c>
      <c r="B24" s="34" t="n">
        <v>1</v>
      </c>
      <c r="C24" s="34" t="n">
        <v>0</v>
      </c>
      <c r="D24" s="48" t="n">
        <v>1</v>
      </c>
      <c r="E24" s="49">
        <f>1/7</f>
        <v/>
      </c>
    </row>
    <row r="25">
      <c r="A25" s="28" t="inlineStr">
        <is>
          <t>REBI</t>
        </is>
      </c>
      <c r="B25" s="37" t="n">
        <v>1</v>
      </c>
      <c r="C25" s="37" t="n">
        <v>0</v>
      </c>
      <c r="D25" s="46" t="n">
        <v>1</v>
      </c>
      <c r="E25" s="47">
        <f>1/2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2026-05-06T19:01:31Z</dcterms:created>
  <dcterms:modified xmlns:dcterms="http://purl.org/dc/terms/" xmlns:xsi="http://www.w3.org/2001/XMLSchema-instance" xsi:type="dcterms:W3CDTF">2026-05-06T19:01:32Z</dcterms:modified>
</cp:coreProperties>
</file>