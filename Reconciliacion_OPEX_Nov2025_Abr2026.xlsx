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sumen Ejecutivo" sheetId="1" state="visible" r:id="rId3"/>
    <sheet name="2. Cobertura Mensual" sheetId="2" state="visible" r:id="rId4"/>
    <sheet name="3. Detalle Contratista x Mes" sheetId="3" state="visible" r:id="rId5"/>
    <sheet name="4. OTs Externas Sin Costo" sheetId="4" state="visible" r:id="rId6"/>
    <sheet name="5. Spot-check OCs vs Metabase" sheetId="5" state="visible" r:id="rId7"/>
    <sheet name="6. Próximos pas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<sst xmlns="http://schemas.openxmlformats.org/spreadsheetml/2006/main" count="457" uniqueCount="196">
  <si>
    <t xml:space="preserve">Reconciliación OPEX  -  Nov 2025 a Abr 2026</t>
  </si>
  <si>
    <t xml:space="preserve">Fuente: Metabase prod-bia-gold.operations.opex_costs_general + Drive OCs</t>
  </si>
  <si>
    <t xml:space="preserve">Generado: 2026-05-05</t>
  </si>
  <si>
    <t xml:space="preserve">Conclusión principal</t>
  </si>
  <si>
    <t xml:space="preserve">NO hay un problema sistémico de cobertura en contratistas externos. La alarma del Oráculo del OPEX (caída a 30-46% de cobertura en Nov-Dic 2025) es un artefacto de la métrica: incluye OTs de BIA propio que por modelo de negocio NO deben tener costo en BD (se calcula fuera). Si se excluye BIA, la cobertura externa real es del 98.8% al 100% en todo el período.</t>
  </si>
  <si>
    <t xml:space="preserve">Hallazgos clave</t>
  </si>
  <si>
    <t xml:space="preserve">1</t>
  </si>
  <si>
    <t xml:space="preserve">Cobertura externa real: 98.8% - 100%</t>
  </si>
  <si>
    <t xml:space="preserve">Excluyendo BIA propio, las OTs externas con Cierre Exitoso tienen costo enabled cargado al 100% en Nov 2025, Ene-Abr 2026. Solo 4 OTs sin costo en Dic 2025, todas de tipo REQA (Revisión por QA), probablemente revisiones internas no facturables.</t>
  </si>
  <si>
    <t xml:space="preserve">2</t>
  </si>
  <si>
    <t xml:space="preserve">BIA propio explica el 99% del "gap" reportado</t>
  </si>
  <si>
    <t xml:space="preserve">De las 658 OTs exitosas sin costo en Nov-Dic 2025, 654 son del equipo BIA propio (323 + 331). Solo 4 son externas. Confirmado: BIA siempre tendrá $0 en BD (costo se calcula fuera).</t>
  </si>
  <si>
    <t xml:space="preserve">3</t>
  </si>
  <si>
    <t xml:space="preserve">Spot-check Drive vs Metabase: alta consistencia desde Ene 2026</t>
  </si>
  <si>
    <t xml:space="preserve">GMAS Ene, Feb y Mar 2026 coinciden al peso exacto entre OC Drive y Metabase. Las OCs se emiten 1 mes después del servicio, lo que explica que carpetas mensuales parezcan "vacías" hasta el mes siguiente.</t>
  </si>
  <si>
    <t xml:space="preserve">4</t>
  </si>
  <si>
    <t xml:space="preserve">Anomalía: GMAS Dic 2025 sin OC en Drive</t>
  </si>
  <si>
    <t xml:space="preserve">Metabase tiene $67.5M cargados para GMAS en Dic 2025 pero NO existe carpeta Diciembre 2025 en Drive/GMAS. Costo registrado sin respaldo de OC visible. INVESTIGAR.</t>
  </si>
  <si>
    <t xml:space="preserve">5</t>
  </si>
  <si>
    <t xml:space="preserve">Diferencia GMAS Nov 2025: -$21.4M</t>
  </si>
  <si>
    <t xml:space="preserve">OC OCBIAS-811 (28/11/2025) por $60.5M vs Metabase $39.1M. Posibles causas: la OC consolida varios meses, o hay OTs facturadas que no llegaron a Metabase, o ajuste retroactivo de tarifa. INVESTIGAR.</t>
  </si>
  <si>
    <t xml:space="preserve">6</t>
  </si>
  <si>
    <t xml:space="preserve">Carpeta "C3" contiene OCs de M Y D INGENIERIA</t>
  </si>
  <si>
    <t xml:space="preserve">El nombre de carpeta no coincide con la razón social del proveedor. C3 en Metabase corresponde a M Y D INGENIERIA SAS (NIT 901121468). Validar el mapeo de razón social en la documentación interna.</t>
  </si>
  <si>
    <t xml:space="preserve">7</t>
  </si>
  <si>
    <t xml:space="preserve">Patrón "disabled" es operativamente normal</t>
  </si>
  <si>
    <t xml:space="preserve">Las "374 OTs problemáticas" de Feb 2026 reportadas por el Oráculo se descomponen en: 264 cancelaciones sin costo (correcto, no se cobran), 11 cancelaciones con cobro pactado, 76 disabled (revisar puntualmente), 1 fallida sin costo, 56 fallidas con cobro estructural (carro canasta), 24 fallidas disabled, 9 vencidas. El núcleo real de revisión son ~100 OTs.</t>
  </si>
  <si>
    <t xml:space="preserve">Recomendaciones de acción</t>
  </si>
  <si>
    <t xml:space="preserve">Inmediato</t>
  </si>
  <si>
    <t xml:space="preserve">Confirmar con el equipo de Operaciones si las 4 OTs de tipo REQA en Dic 2025 deben tener costo o son legítimamente sin cobro.</t>
  </si>
  <si>
    <t xml:space="preserve">Localizar la OC de GMAS para Diciembre 2025 (Metabase muestra $67.5M sin respaldo en carpeta Drive).</t>
  </si>
  <si>
    <t xml:space="preserve">Pedir aclaración sobre la diferencia de $21.4M entre OC GMAS Nov 2025 y Metabase. Validar si la OC consolida más meses.</t>
  </si>
  <si>
    <t xml:space="preserve">Métrica</t>
  </si>
  <si>
    <t xml:space="preserve">Ajustar el reporte del Oráculo del OPEX para excluir BIA propio del cálculo de cobertura. Hoy genera falsos positivos.</t>
  </si>
  <si>
    <t xml:space="preserve">Proceso</t>
  </si>
  <si>
    <t xml:space="preserve">Documentar el mapeo razón social ↔ nombre de carpeta Drive (ej: "C3" = M Y D INGENIERIA). Algunos contratistas tienen alias.</t>
  </si>
  <si>
    <t xml:space="preserve">Definir si hay tarifa interna para BIA propio que deba reflejarse en BD, o confirmar que se mantendrá $0 como decisión de modelo.</t>
  </si>
  <si>
    <t xml:space="preserve">Cobertura mensual: total vs filtrando por estado y excluyendo BIA propio</t>
  </si>
  <si>
    <t xml:space="preserve">Tabla A. Cobertura total (todos los estados, incluye BIA propio)</t>
  </si>
  <si>
    <t xml:space="preserve">Mes</t>
  </si>
  <si>
    <t xml:space="preserve">Total OTs</t>
  </si>
  <si>
    <t xml:space="preserve">Con costo</t>
  </si>
  <si>
    <t xml:space="preserve">Enabled</t>
  </si>
  <si>
    <t xml:space="preserve">Sin costo</t>
  </si>
  <si>
    <t xml:space="preserve">Costo+Disabled</t>
  </si>
  <si>
    <t xml:space="preserve">% Cobertura enabled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</si>
  <si>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</si>
  <si>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</si>
  <si>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</si>
  <si>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</si>
  <si>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</si>
  <si>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</si>
  <si>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Tabla B. Solo Cierre Exitoso (la métrica relevante para cobro)</t>
  </si>
  <si>
    <t xml:space="preserve">Exitosas</t>
  </si>
  <si>
    <t xml:space="preserve">Tabla C. BIA propio (causa raíz del falso problema)</t>
  </si>
  <si>
    <t xml:space="preserve">Por modelo de negocio, BIA propio NO debe tener costo cargado en BD</t>
  </si>
  <si>
    <t xml:space="preserve">Exitosas BIA</t>
  </si>
  <si>
    <t xml:space="preserve">Sin costo BIA</t>
  </si>
  <si>
    <t xml:space="preserve">Enabled BIA</t>
  </si>
  <si>
    <t xml:space="preserve">Costo total BIA ($)</t>
  </si>
  <si>
    <t xml:space="preserve">Tabla D. Cobertura real externa (Cierre Exitoso, sin BIA)</t>
  </si>
  <si>
    <t xml:space="preserve">Exitosas externas</t>
  </si>
  <si>
    <t xml:space="preserve">Sin costo externas</t>
  </si>
  <si>
    <t xml:space="preserve">% Cobertura externa real</t>
  </si>
  <si>
    <t xml:space="preserve">Detalle por contratista y mes</t>
  </si>
  <si>
    <t xml:space="preserve">Contratista</t>
  </si>
  <si>
    <t xml:space="preserve">Total visitas</t>
  </si>
  <si>
    <t xml:space="preserve">Exit. sin costo</t>
  </si>
  <si>
    <t xml:space="preserve">OTs enabled</t>
  </si>
  <si>
    <t xml:space="preserve">Costo enabled ($)</t>
  </si>
  <si>
    <t xml:space="preserve">AR INGENIERIA</t>
  </si>
  <si>
    <t xml:space="preserve">BIA (propio)</t>
  </si>
  <si>
    <t xml:space="preserve">C3</t>
  </si>
  <si>
    <t xml:space="preserve">C3 BOGOTA</t>
  </si>
  <si>
    <t xml:space="preserve">DISELEC</t>
  </si>
  <si>
    <t xml:space="preserve">DR TELEMEDIDA</t>
  </si>
  <si>
    <t xml:space="preserve">ELECPROYECTOS</t>
  </si>
  <si>
    <t xml:space="preserve">EMSITECH</t>
  </si>
  <si>
    <t xml:space="preserve">GATRIA</t>
  </si>
  <si>
    <t xml:space="preserve">GMAS</t>
  </si>
  <si>
    <t xml:space="preserve">ISELEC</t>
  </si>
  <si>
    <t xml:space="preserve">ISEMEC</t>
  </si>
  <si>
    <t xml:space="preserve">ISEMEC BOGOTA</t>
  </si>
  <si>
    <t xml:space="preserve">JEM</t>
  </si>
  <si>
    <t xml:space="preserve">MCR</t>
  </si>
  <si>
    <t xml:space="preserve">MONTAJES MTE</t>
  </si>
  <si>
    <t xml:space="preserve">POWER GRID SAS</t>
  </si>
  <si>
    <t xml:space="preserve">REHOBOT SAS</t>
  </si>
  <si>
    <t xml:space="preserve">S&amp;SE</t>
  </si>
  <si>
    <t xml:space="preserve">SGE</t>
  </si>
  <si>
    <t xml:space="preserve">OTs externas Cierre Exitoso sin costo  -  Dic 2025  (las únicas 4 anomalías reales)</t>
  </si>
  <si>
    <t xml:space="preserve">Contract ID</t>
  </si>
  <si>
    <t xml:space="preserve">Internal Bia Code</t>
  </si>
  <si>
    <t xml:space="preserve">Service Type</t>
  </si>
  <si>
    <t xml:space="preserve">Service Name</t>
  </si>
  <si>
    <t xml:space="preserve">Measurement</t>
  </si>
  <si>
    <t xml:space="preserve">Operador Red</t>
  </si>
  <si>
    <t xml:space="preserve">Ciudad</t>
  </si>
  <si>
    <t xml:space="preserve">Fecha visita</t>
  </si>
  <si>
    <t xml:space="preserve">Title</t>
  </si>
  <si>
    <t xml:space="preserve">Acta PDF</t>
  </si>
  <si>
    <t xml:space="preserve">37550</t>
  </si>
  <si>
    <t xml:space="preserve">CO0500006312</t>
  </si>
  <si>
    <t xml:space="preserve">REQA</t>
  </si>
  <si>
    <t xml:space="preserve">Revisión por QA</t>
  </si>
  <si>
    <t xml:space="preserve">DIRECT</t>
  </si>
  <si>
    <t xml:space="preserve">AIRE</t>
  </si>
  <si>
    <t xml:space="preserve">BARRANQUILLA</t>
  </si>
  <si>
    <t xml:space="preserve">2025-12-17</t>
  </si>
  <si>
    <t xml:space="preserve">REQA_CO0500006312_1269510264_1</t>
  </si>
  <si>
    <t xml:space="preserve">sin acta PDF</t>
  </si>
  <si>
    <t xml:space="preserve">0</t>
  </si>
  <si>
    <t xml:space="preserve">CO0400005750</t>
  </si>
  <si>
    <t xml:space="preserve">(null)</t>
  </si>
  <si>
    <t xml:space="preserve">EPM</t>
  </si>
  <si>
    <t xml:space="preserve">MEDELLÍN</t>
  </si>
  <si>
    <t xml:space="preserve">2025-12-26</t>
  </si>
  <si>
    <t xml:space="preserve">REQA_CO0400005750_1272064683_1</t>
  </si>
  <si>
    <t xml:space="preserve">https://www.bia.app/public/files//electrician-forms/form_id_9ed199a8-1121-47f5-896b-44dc3d3b94ac.pdf</t>
  </si>
  <si>
    <t xml:space="preserve">35223</t>
  </si>
  <si>
    <t xml:space="preserve">CO0400005904</t>
  </si>
  <si>
    <t xml:space="preserve">ENEL CUNDINAMARCA</t>
  </si>
  <si>
    <t xml:space="preserve">ENVIGADO</t>
  </si>
  <si>
    <t xml:space="preserve">REQA_CO0400005904_1272088731_1</t>
  </si>
  <si>
    <t xml:space="preserve">https://www.bia.app/public/files//electrician-forms/form_id_73a751a0-c070-426a-8fd6-40a2d5774188.pdf</t>
  </si>
  <si>
    <t xml:space="preserve">36721</t>
  </si>
  <si>
    <t xml:space="preserve">CO0200006243</t>
  </si>
  <si>
    <t xml:space="preserve">CETSA TULUA</t>
  </si>
  <si>
    <t xml:space="preserve">TULUÁ</t>
  </si>
  <si>
    <t xml:space="preserve">2025-12-19</t>
  </si>
  <si>
    <t xml:space="preserve">REQA_CO0200006243_1268594792_1</t>
  </si>
  <si>
    <t xml:space="preserve">https://www.bia.app/public/files//electrician-forms/form_id_da2ab458-673c-49c7-9a80-345fca2dac36.pdf</t>
  </si>
  <si>
    <t xml:space="preserve">Nota: Las 4 son tipo REQA (Revisión por QA). Probablemente revisiones internas no facturables.</t>
  </si>
  <si>
    <t xml:space="preserve">Cruce manual de OCs en Drive vs costo Metabase</t>
  </si>
  <si>
    <t xml:space="preserve">Contratista (carpeta)</t>
  </si>
  <si>
    <t xml:space="preserve">Mes servicio</t>
  </si>
  <si>
    <t xml:space="preserve">OC #</t>
  </si>
  <si>
    <t xml:space="preserve">Razón social en OC</t>
  </si>
  <si>
    <t xml:space="preserve">Fecha emisión OC</t>
  </si>
  <si>
    <t xml:space="preserve">Monto OC ($)</t>
  </si>
  <si>
    <t xml:space="preserve">Metabase enabled ($)</t>
  </si>
  <si>
    <t xml:space="preserve">Diferencia ($)</t>
  </si>
  <si>
    <t xml:space="preserve">Comentario</t>
  </si>
  <si>
    <t xml:space="preserve">OCBIAS-000000811</t>
  </si>
  <si>
    <t xml:space="preserve">GMAS SERVICES SAS</t>
  </si>
  <si>
    <t xml:space="preserve">2025-11-28</t>
  </si>
  <si>
    <t xml:space="preserve">OC supera a Metabase en $21.4M. Posible: OTs facturadas no cargadas o consolidación de varios meses</t>
  </si>
  <si>
    <t xml:space="preserve">(no encontrada en Drive)</t>
  </si>
  <si>
    <t xml:space="preserve">-</t>
  </si>
  <si>
    <t xml:space="preserve">NO existe carpeta Diciembre 2025 en GMAS Drive. Costo cargado en Metabase sin OC visible</t>
  </si>
  <si>
    <t xml:space="preserve">OCBIAS-000000960</t>
  </si>
  <si>
    <t xml:space="preserve">2026-02-02</t>
  </si>
  <si>
    <t xml:space="preserve">COINCIDENCIA EXACTA. OC se emite el mes siguiente al servicio</t>
  </si>
  <si>
    <t xml:space="preserve">OCBIAS-100000096005 + 96006</t>
  </si>
  <si>
    <t xml:space="preserve">2026-03-02</t>
  </si>
  <si>
    <t xml:space="preserve">COINCIDENCIA EXACTA (suma de 2 OCs)</t>
  </si>
  <si>
    <t xml:space="preserve">OCBIAS-000001072</t>
  </si>
  <si>
    <t xml:space="preserve">2026-04-06</t>
  </si>
  <si>
    <t xml:space="preserve">COINCIDENCIA EXACTA al peso</t>
  </si>
  <si>
    <t xml:space="preserve">OCBIAS-000001128 + OCBIAE-000001275</t>
  </si>
  <si>
    <t xml:space="preserve">2026-05-04</t>
  </si>
  <si>
    <t xml:space="preserve">OC Drive supera a Metabase en $2.7M. OCBIAS-1128 es materiales, no servicio</t>
  </si>
  <si>
    <t xml:space="preserve">OCBIAS-000000812 + OCBIAE-000000936</t>
  </si>
  <si>
    <t xml:space="preserve">M Y D INGENIERIA SAS</t>
  </si>
  <si>
    <t xml:space="preserve">Carpeta C3 contiene OCs de M Y D INGENIERIA. Diferencia $7.8M. Validar mapeo de razón social</t>
  </si>
  <si>
    <t xml:space="preserve">Pendientes de validación  -  acciones siguientes</t>
  </si>
  <si>
    <t xml:space="preserve">Prioridad</t>
  </si>
  <si>
    <t xml:space="preserve">Owner sugerido</t>
  </si>
  <si>
    <t xml:space="preserve">Acción</t>
  </si>
  <si>
    <t xml:space="preserve">Impacto</t>
  </si>
  <si>
    <t xml:space="preserve">Alta</t>
  </si>
  <si>
    <t xml:space="preserve">Operaciones</t>
  </si>
  <si>
    <t xml:space="preserve">Validar si las 4 OTs REQA Dic 2025 (C3, ISELEC x2, ISEMEC) deben llevar costo</t>
  </si>
  <si>
    <t xml:space="preserve">Cierra el último gap externo Nov-Abr</t>
  </si>
  <si>
    <t xml:space="preserve">Compras / Operaciones</t>
  </si>
  <si>
    <t xml:space="preserve">Localizar la OC de GMAS Diciembre 2025 (Metabase muestra $67.5M sin OC en Drive)</t>
  </si>
  <si>
    <t xml:space="preserve">$67.5M sin respaldo documental</t>
  </si>
  <si>
    <t xml:space="preserve">Compras</t>
  </si>
  <si>
    <t xml:space="preserve">Aclarar diferencia de $21.4M entre OC GMAS Nov 2025 ($60.5M) y Metabase ($39.1M)</t>
  </si>
  <si>
    <t xml:space="preserve">Validar si hay OTs facturadas no cargadas</t>
  </si>
  <si>
    <t xml:space="preserve">Media</t>
  </si>
  <si>
    <t xml:space="preserve">BI / Métricas</t>
  </si>
  <si>
    <t xml:space="preserve">Ajustar el dashboard del Oráculo del OPEX para excluir BIA propio del cálculo de cobertura</t>
  </si>
  <si>
    <t xml:space="preserve">Elimina falsos positivos en reportes</t>
  </si>
  <si>
    <t xml:space="preserve">Documentar mapeo razón social ↔ nombre de carpeta Drive (C3 = M Y D INGENIERIA, etc.)</t>
  </si>
  <si>
    <t xml:space="preserve">Facilita reconciliación futura</t>
  </si>
  <si>
    <t xml:space="preserve">Operaciones / Finanzas</t>
  </si>
  <si>
    <t xml:space="preserve">Definir tarifa interna para BIA propio o confirmar política de mantener $0 en BD</t>
  </si>
  <si>
    <t xml:space="preserve">Claridad de modelo de costos</t>
  </si>
  <si>
    <t xml:space="preserve">Baja</t>
  </si>
  <si>
    <t xml:space="preserve">Auditoría interna</t>
  </si>
  <si>
    <t xml:space="preserve">Investigar las 100 OTs Feb 2026 con costo cargado pero disabled (76 cancelaciones + 24 fallidas)</t>
  </si>
  <si>
    <t xml:space="preserve">Validar legítimidad del estado disabled</t>
  </si>
  <si>
    <t xml:space="preserve">Análisis</t>
  </si>
  <si>
    <t xml:space="preserve">Extender el spot-check OCs Drive a los 18 contratistas externos restantes</t>
  </si>
  <si>
    <t xml:space="preserve">Confirmar el patrón en todo el universo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</si>
</sst>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8CBAD"/>
      </patternFill>
    </fill>
    <fill>
      <patternFill patternType="solid">
        <fgColor rgb="FF2E75B6"/>
        <bgColor rgb="FF0066CC"/>
      </patternFill>
    </fill>
    <fill>
      <patternFill patternType="solid">
        <fgColor rgb="FFC6E0B4"/>
        <bgColor rgb="FFCCFFCC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6" min="3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60" hidden="false" customHeight="true" outlineLevel="0" collapsed="false">
      <c r="A6" s="4" t="s">
        <v>4</v>
      </c>
      <c r="B6" s="4"/>
      <c r="C6" s="4"/>
      <c r="D6" s="4"/>
      <c r="E6" s="4"/>
      <c r="F6" s="4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5" t="s">
        <v>6</v>
      </c>
      <c r="B9" s="6" t="s">
        <v>7</v>
      </c>
      <c r="C9" s="6"/>
      <c r="D9" s="6"/>
      <c r="E9" s="6"/>
      <c r="F9" s="6"/>
    </row>
    <row r="10" customFormat="false" ht="49.5" hidden="false" customHeight="true" outlineLevel="0" collapsed="false">
      <c r="B10" s="7" t="s">
        <v>8</v>
      </c>
      <c r="C10" s="7"/>
      <c r="D10" s="7"/>
      <c r="E10" s="7"/>
      <c r="F10" s="7"/>
    </row>
    <row r="12" customFormat="false" ht="15" hidden="false" customHeight="false" outlineLevel="0" collapsed="false">
      <c r="A12" s="5" t="s">
        <v>9</v>
      </c>
      <c r="B12" s="6" t="s">
        <v>10</v>
      </c>
      <c r="C12" s="6"/>
      <c r="D12" s="6"/>
      <c r="E12" s="6"/>
      <c r="F12" s="6"/>
    </row>
    <row r="13" customFormat="false" ht="49.5" hidden="false" customHeight="true" outlineLevel="0" collapsed="false">
      <c r="B13" s="7" t="s">
        <v>11</v>
      </c>
      <c r="C13" s="7"/>
      <c r="D13" s="7"/>
      <c r="E13" s="7"/>
      <c r="F13" s="7"/>
    </row>
    <row r="15" customFormat="false" ht="15" hidden="false" customHeight="false" outlineLevel="0" collapsed="false">
      <c r="A15" s="5" t="s">
        <v>12</v>
      </c>
      <c r="B15" s="6" t="s">
        <v>13</v>
      </c>
      <c r="C15" s="6"/>
      <c r="D15" s="6"/>
      <c r="E15" s="6"/>
      <c r="F15" s="6"/>
    </row>
    <row r="16" customFormat="false" ht="49.5" hidden="false" customHeight="true" outlineLevel="0" collapsed="false">
      <c r="B16" s="7" t="s">
        <v>14</v>
      </c>
      <c r="C16" s="7"/>
      <c r="D16" s="7"/>
      <c r="E16" s="7"/>
      <c r="F16" s="7"/>
    </row>
    <row r="18" customFormat="false" ht="15" hidden="false" customHeight="false" outlineLevel="0" collapsed="false">
      <c r="A18" s="5" t="s">
        <v>15</v>
      </c>
      <c r="B18" s="6" t="s">
        <v>16</v>
      </c>
      <c r="C18" s="6"/>
      <c r="D18" s="6"/>
      <c r="E18" s="6"/>
      <c r="F18" s="6"/>
    </row>
    <row r="19" customFormat="false" ht="49.5" hidden="false" customHeight="true" outlineLevel="0" collapsed="false">
      <c r="B19" s="7" t="s">
        <v>17</v>
      </c>
      <c r="C19" s="7"/>
      <c r="D19" s="7"/>
      <c r="E19" s="7"/>
      <c r="F19" s="7"/>
    </row>
    <row r="21" customFormat="false" ht="15" hidden="false" customHeight="false" outlineLevel="0" collapsed="false">
      <c r="A21" s="5" t="s">
        <v>18</v>
      </c>
      <c r="B21" s="6" t="s">
        <v>19</v>
      </c>
      <c r="C21" s="6"/>
      <c r="D21" s="6"/>
      <c r="E21" s="6"/>
      <c r="F21" s="6"/>
    </row>
    <row r="22" customFormat="false" ht="49.5" hidden="false" customHeight="true" outlineLevel="0" collapsed="false">
      <c r="B22" s="7" t="s">
        <v>20</v>
      </c>
      <c r="C22" s="7"/>
      <c r="D22" s="7"/>
      <c r="E22" s="7"/>
      <c r="F22" s="7"/>
    </row>
    <row r="24" customFormat="false" ht="15" hidden="false" customHeight="false" outlineLevel="0" collapsed="false">
      <c r="A24" s="5" t="s">
        <v>21</v>
      </c>
      <c r="B24" s="6" t="s">
        <v>22</v>
      </c>
      <c r="C24" s="6"/>
      <c r="D24" s="6"/>
      <c r="E24" s="6"/>
      <c r="F24" s="6"/>
    </row>
    <row r="25" customFormat="false" ht="49.5" hidden="false" customHeight="true" outlineLevel="0" collapsed="false">
      <c r="B25" s="7" t="s">
        <v>23</v>
      </c>
      <c r="C25" s="7"/>
      <c r="D25" s="7"/>
      <c r="E25" s="7"/>
      <c r="F25" s="7"/>
    </row>
    <row r="27" customFormat="false" ht="15" hidden="false" customHeight="false" outlineLevel="0" collapsed="false">
      <c r="A27" s="5" t="s">
        <v>24</v>
      </c>
      <c r="B27" s="6" t="s">
        <v>25</v>
      </c>
      <c r="C27" s="6"/>
      <c r="D27" s="6"/>
      <c r="E27" s="6"/>
      <c r="F27" s="6"/>
    </row>
    <row r="28" customFormat="false" ht="49.5" hidden="false" customHeight="true" outlineLevel="0" collapsed="false">
      <c r="B28" s="7" t="s">
        <v>26</v>
      </c>
      <c r="C28" s="7"/>
      <c r="D28" s="7"/>
      <c r="E28" s="7"/>
      <c r="F28" s="7"/>
    </row>
    <row r="30" customFormat="false" ht="15" hidden="false" customHeight="false" outlineLevel="0" collapsed="false">
      <c r="A30" s="3" t="s">
        <v>27</v>
      </c>
    </row>
    <row r="31" customFormat="false" ht="34.5" hidden="false" customHeight="true" outlineLevel="0" collapsed="false">
      <c r="A31" s="8" t="s">
        <v>28</v>
      </c>
      <c r="B31" s="7" t="s">
        <v>29</v>
      </c>
      <c r="C31" s="7"/>
      <c r="D31" s="7"/>
      <c r="E31" s="7"/>
      <c r="F31" s="7"/>
    </row>
    <row r="32" customFormat="false" ht="34.5" hidden="false" customHeight="true" outlineLevel="0" collapsed="false">
      <c r="A32" s="8" t="s">
        <v>28</v>
      </c>
      <c r="B32" s="7" t="s">
        <v>30</v>
      </c>
      <c r="C32" s="7"/>
      <c r="D32" s="7"/>
      <c r="E32" s="7"/>
      <c r="F32" s="7"/>
    </row>
    <row r="33" customFormat="false" ht="34.5" hidden="false" customHeight="true" outlineLevel="0" collapsed="false">
      <c r="A33" s="8" t="s">
        <v>28</v>
      </c>
      <c r="B33" s="7" t="s">
        <v>31</v>
      </c>
      <c r="C33" s="7"/>
      <c r="D33" s="7"/>
      <c r="E33" s="7"/>
      <c r="F33" s="7"/>
    </row>
    <row r="34" customFormat="false" ht="34.5" hidden="false" customHeight="true" outlineLevel="0" collapsed="false">
      <c r="A34" s="8" t="s">
        <v>32</v>
      </c>
      <c r="B34" s="7" t="s">
        <v>33</v>
      </c>
      <c r="C34" s="7"/>
      <c r="D34" s="7"/>
      <c r="E34" s="7"/>
      <c r="F34" s="7"/>
    </row>
    <row r="35" customFormat="false" ht="34.5" hidden="false" customHeight="true" outlineLevel="0" collapsed="false">
      <c r="A35" s="8" t="s">
        <v>34</v>
      </c>
      <c r="B35" s="7" t="s">
        <v>35</v>
      </c>
      <c r="C35" s="7"/>
      <c r="D35" s="7"/>
      <c r="E35" s="7"/>
      <c r="F35" s="7"/>
    </row>
    <row r="36" customFormat="false" ht="34.5" hidden="false" customHeight="true" outlineLevel="0" collapsed="false">
      <c r="A36" s="8" t="s">
        <v>34</v>
      </c>
      <c r="B36" s="7" t="s">
        <v>36</v>
      </c>
      <c r="C36" s="7"/>
      <c r="D36" s="7"/>
      <c r="E36" s="7"/>
      <c r="F36" s="7"/>
    </row>
  </sheetData>
  <mergeCells count="22">
    <mergeCell ref="A1:F1"/>
    <mergeCell ref="A6:F6"/>
    <mergeCell ref="B9:F9"/>
    <mergeCell ref="B10:F10"/>
    <mergeCell ref="B12:F12"/>
    <mergeCell ref="B13:F13"/>
    <mergeCell ref="B15:F15"/>
    <mergeCell ref="B16:F16"/>
    <mergeCell ref="B18:F18"/>
    <mergeCell ref="B19:F19"/>
    <mergeCell ref="B21:F21"/>
    <mergeCell ref="B22:F22"/>
    <mergeCell ref="B24:F24"/>
    <mergeCell ref="B25:F25"/>
    <mergeCell ref="B27:F27"/>
    <mergeCell ref="B28:F28"/>
    <mergeCell ref="B31:F31"/>
    <mergeCell ref="B32:F32"/>
    <mergeCell ref="B33:F33"/>
    <mergeCell ref="B34:F34"/>
    <mergeCell ref="B35:F35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20"/>
  </cols>
  <sheetData>
    <row r="1" customFormat="false" ht="27.7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3" t="s">
        <v>38</v>
      </c>
    </row>
    <row r="4" customFormat="false" ht="15" hidden="false" customHeight="false" outlineLevel="0" collapsed="false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</row>
    <row r="5" customFormat="false" ht="15" hidden="false" customHeight="false" outlineLevel="0" collapsed="false">
      <c r="A5" s="10" t="s">
        <v>46</v>
      </c>
      <c r="B5" s="11" t="n">
        <v>1558</v>
      </c>
      <c r="C5" s="11" t="n">
        <v>477</v>
      </c>
      <c r="D5" s="11" t="n">
        <v>477</v>
      </c>
      <c r="E5" s="11" t="n">
        <v>1081</v>
      </c>
      <c r="F5" s="11" t="n">
        <v>0</v>
      </c>
      <c r="G5" s="12" t="n">
        <f aca="false">D5/B5</f>
        <v>0.306161745827985</v>
      </c>
    </row>
    <row r="6" customFormat="false" ht="15" hidden="false" customHeight="false" outlineLevel="0" collapsed="false">
      <c r="A6" s="10" t="s">
        <v>47</v>
      </c>
      <c r="B6" s="11" t="n">
        <v>1059</v>
      </c>
      <c r="C6" s="11" t="n">
        <v>488</v>
      </c>
      <c r="D6" s="11" t="n">
        <v>417</v>
      </c>
      <c r="E6" s="11" t="n">
        <v>571</v>
      </c>
      <c r="F6" s="11" t="n">
        <v>71</v>
      </c>
      <c r="G6" s="12" t="n">
        <f aca="false">D6/B6</f>
        <v>0.393767705382436</v>
      </c>
    </row>
    <row r="7" customFormat="false" ht="15" hidden="false" customHeight="false" outlineLevel="0" collapsed="false">
      <c r="A7" s="10" t="s">
        <v>48</v>
      </c>
      <c r="B7" s="11" t="n">
        <v>817</v>
      </c>
      <c r="C7" s="11" t="n">
        <v>703</v>
      </c>
      <c r="D7" s="11" t="n">
        <v>667</v>
      </c>
      <c r="E7" s="11" t="n">
        <v>114</v>
      </c>
      <c r="F7" s="11" t="n">
        <v>36</v>
      </c>
      <c r="G7" s="12" t="n">
        <f aca="false">D7/B7</f>
        <v>0.81640146878825</v>
      </c>
    </row>
    <row r="8" customFormat="false" ht="15" hidden="false" customHeight="false" outlineLevel="0" collapsed="false">
      <c r="A8" s="10" t="s">
        <v>49</v>
      </c>
      <c r="B8" s="11" t="n">
        <v>969</v>
      </c>
      <c r="C8" s="11" t="n">
        <v>695</v>
      </c>
      <c r="D8" s="11" t="n">
        <v>595</v>
      </c>
      <c r="E8" s="11" t="n">
        <v>274</v>
      </c>
      <c r="F8" s="11" t="n">
        <v>100</v>
      </c>
      <c r="G8" s="12" t="n">
        <f aca="false">D8/B8</f>
        <v>0.614035087719298</v>
      </c>
    </row>
    <row r="9" customFormat="false" ht="15" hidden="false" customHeight="false" outlineLevel="0" collapsed="false">
      <c r="A9" s="10" t="s">
        <v>50</v>
      </c>
      <c r="B9" s="11" t="n">
        <v>948</v>
      </c>
      <c r="C9" s="11" t="n">
        <v>895</v>
      </c>
      <c r="D9" s="11" t="n">
        <v>661</v>
      </c>
      <c r="E9" s="11" t="n">
        <v>53</v>
      </c>
      <c r="F9" s="11" t="n">
        <v>234</v>
      </c>
      <c r="G9" s="12" t="n">
        <f aca="false">D9/B9</f>
        <v>0.697257383966245</v>
      </c>
    </row>
    <row r="10" customFormat="false" ht="15" hidden="false" customHeight="false" outlineLevel="0" collapsed="false">
      <c r="A10" s="10" t="s">
        <v>51</v>
      </c>
      <c r="B10" s="11" t="n">
        <v>774</v>
      </c>
      <c r="C10" s="11" t="n">
        <v>600</v>
      </c>
      <c r="D10" s="11" t="n">
        <v>560</v>
      </c>
      <c r="E10" s="11" t="n">
        <v>174</v>
      </c>
      <c r="F10" s="11" t="n">
        <v>40</v>
      </c>
      <c r="G10" s="12" t="n">
        <f aca="false">D10/B10</f>
        <v>0.723514211886305</v>
      </c>
    </row>
    <row r="13" customFormat="false" ht="15" hidden="false" customHeight="false" outlineLevel="0" collapsed="false">
      <c r="A13" s="3" t="s">
        <v>52</v>
      </c>
    </row>
    <row r="14" customFormat="false" ht="15" hidden="false" customHeight="false" outlineLevel="0" collapsed="false">
      <c r="A14" s="9" t="s">
        <v>39</v>
      </c>
      <c r="B14" s="9" t="s">
        <v>53</v>
      </c>
      <c r="C14" s="9" t="s">
        <v>43</v>
      </c>
      <c r="D14" s="9" t="s">
        <v>42</v>
      </c>
      <c r="E14" s="9" t="s">
        <v>45</v>
      </c>
    </row>
    <row r="15" customFormat="false" ht="15" hidden="false" customHeight="false" outlineLevel="0" collapsed="false">
      <c r="A15" s="10" t="s">
        <v>46</v>
      </c>
      <c r="B15" s="11" t="n">
        <v>727</v>
      </c>
      <c r="C15" s="11" t="n">
        <v>323</v>
      </c>
      <c r="D15" s="11" t="n">
        <v>404</v>
      </c>
      <c r="E15" s="12" t="n">
        <f aca="false">D15/B15</f>
        <v>0.555708390646493</v>
      </c>
    </row>
    <row r="16" customFormat="false" ht="15" hidden="false" customHeight="false" outlineLevel="0" collapsed="false">
      <c r="A16" s="10" t="s">
        <v>47</v>
      </c>
      <c r="B16" s="11" t="n">
        <v>657</v>
      </c>
      <c r="C16" s="11" t="n">
        <v>335</v>
      </c>
      <c r="D16" s="11" t="n">
        <v>322</v>
      </c>
      <c r="E16" s="12" t="n">
        <f aca="false">D16/B16</f>
        <v>0.490106544901065</v>
      </c>
    </row>
    <row r="17" customFormat="false" ht="15" hidden="false" customHeight="false" outlineLevel="0" collapsed="false">
      <c r="A17" s="10" t="s">
        <v>48</v>
      </c>
      <c r="B17" s="11" t="n">
        <v>593</v>
      </c>
      <c r="C17" s="11" t="n">
        <v>0</v>
      </c>
      <c r="D17" s="11" t="n">
        <v>593</v>
      </c>
      <c r="E17" s="12" t="n">
        <f aca="false">D17/B17</f>
        <v>1</v>
      </c>
    </row>
    <row r="18" customFormat="false" ht="15" hidden="false" customHeight="false" outlineLevel="0" collapsed="false">
      <c r="A18" s="10" t="s">
        <v>49</v>
      </c>
      <c r="B18" s="11" t="n">
        <v>528</v>
      </c>
      <c r="C18" s="11" t="n">
        <v>0</v>
      </c>
      <c r="D18" s="11" t="n">
        <v>528</v>
      </c>
      <c r="E18" s="12" t="n">
        <f aca="false">D18/B18</f>
        <v>1</v>
      </c>
    </row>
    <row r="19" customFormat="false" ht="15" hidden="false" customHeight="false" outlineLevel="0" collapsed="false">
      <c r="A19" s="10" t="s">
        <v>50</v>
      </c>
      <c r="B19" s="11" t="n">
        <v>577</v>
      </c>
      <c r="C19" s="11" t="n">
        <v>0</v>
      </c>
      <c r="D19" s="11" t="n">
        <v>577</v>
      </c>
      <c r="E19" s="12" t="n">
        <f aca="false">D19/B19</f>
        <v>1</v>
      </c>
    </row>
    <row r="20" customFormat="false" ht="15" hidden="false" customHeight="false" outlineLevel="0" collapsed="false">
      <c r="A20" s="10" t="s">
        <v>51</v>
      </c>
      <c r="B20" s="11" t="n">
        <v>433</v>
      </c>
      <c r="C20" s="11" t="n">
        <v>0</v>
      </c>
      <c r="D20" s="11" t="n">
        <v>433</v>
      </c>
      <c r="E20" s="12" t="n">
        <f aca="false">D20/B20</f>
        <v>1</v>
      </c>
    </row>
    <row r="23" customFormat="false" ht="15" hidden="false" customHeight="false" outlineLevel="0" collapsed="false">
      <c r="A23" s="3" t="s">
        <v>54</v>
      </c>
    </row>
    <row r="24" customFormat="false" ht="15" hidden="false" customHeight="false" outlineLevel="0" collapsed="false">
      <c r="A24" s="2" t="s">
        <v>55</v>
      </c>
    </row>
    <row r="25" customFormat="false" ht="15" hidden="false" customHeight="false" outlineLevel="0" collapsed="false">
      <c r="A25" s="9" t="s">
        <v>39</v>
      </c>
      <c r="B25" s="9" t="s">
        <v>56</v>
      </c>
      <c r="C25" s="9" t="s">
        <v>57</v>
      </c>
      <c r="D25" s="9" t="s">
        <v>58</v>
      </c>
      <c r="E25" s="9" t="s">
        <v>59</v>
      </c>
    </row>
    <row r="26" customFormat="false" ht="15" hidden="false" customHeight="false" outlineLevel="0" collapsed="false">
      <c r="A26" s="10" t="s">
        <v>46</v>
      </c>
      <c r="B26" s="11" t="n">
        <v>327</v>
      </c>
      <c r="C26" s="11" t="n">
        <v>323</v>
      </c>
      <c r="D26" s="11" t="n">
        <v>11</v>
      </c>
      <c r="E26" s="13" t="n">
        <v>15833000</v>
      </c>
    </row>
    <row r="27" customFormat="false" ht="15" hidden="false" customHeight="false" outlineLevel="0" collapsed="false">
      <c r="A27" s="10" t="s">
        <v>47</v>
      </c>
      <c r="B27" s="11" t="n">
        <v>333</v>
      </c>
      <c r="C27" s="11" t="n">
        <v>331</v>
      </c>
      <c r="D27" s="11" t="n">
        <v>14</v>
      </c>
      <c r="E27" s="13" t="n">
        <v>12584259</v>
      </c>
    </row>
    <row r="28" customFormat="false" ht="15" hidden="false" customHeight="false" outlineLevel="0" collapsed="false">
      <c r="A28" s="10" t="s">
        <v>48</v>
      </c>
      <c r="B28" s="11" t="n">
        <v>294</v>
      </c>
      <c r="C28" s="11" t="n">
        <v>0</v>
      </c>
      <c r="D28" s="11" t="n">
        <v>322</v>
      </c>
      <c r="E28" s="13" t="n">
        <v>0</v>
      </c>
    </row>
    <row r="29" customFormat="false" ht="15" hidden="false" customHeight="false" outlineLevel="0" collapsed="false">
      <c r="A29" s="10" t="s">
        <v>49</v>
      </c>
      <c r="B29" s="11" t="n">
        <v>278</v>
      </c>
      <c r="C29" s="11" t="n">
        <v>0</v>
      </c>
      <c r="D29" s="11" t="n">
        <v>301</v>
      </c>
      <c r="E29" s="13" t="n">
        <v>0</v>
      </c>
    </row>
    <row r="30" customFormat="false" ht="15" hidden="false" customHeight="false" outlineLevel="0" collapsed="false">
      <c r="A30" s="10" t="s">
        <v>50</v>
      </c>
      <c r="B30" s="11" t="n">
        <v>316</v>
      </c>
      <c r="C30" s="11" t="n">
        <v>0</v>
      </c>
      <c r="D30" s="11" t="n">
        <v>348</v>
      </c>
      <c r="E30" s="13" t="n">
        <v>0</v>
      </c>
    </row>
    <row r="31" customFormat="false" ht="15" hidden="false" customHeight="false" outlineLevel="0" collapsed="false">
      <c r="A31" s="10" t="s">
        <v>51</v>
      </c>
      <c r="B31" s="11" t="n">
        <v>262</v>
      </c>
      <c r="C31" s="11" t="n">
        <v>0</v>
      </c>
      <c r="D31" s="11" t="n">
        <v>337</v>
      </c>
      <c r="E31" s="13" t="n">
        <v>3755617</v>
      </c>
    </row>
    <row r="34" customFormat="false" ht="15" hidden="false" customHeight="false" outlineLevel="0" collapsed="false">
      <c r="A34" s="3" t="s">
        <v>60</v>
      </c>
    </row>
    <row r="35" customFormat="false" ht="23.85" hidden="false" customHeight="false" outlineLevel="0" collapsed="false">
      <c r="A35" s="9" t="s">
        <v>39</v>
      </c>
      <c r="B35" s="9" t="s">
        <v>61</v>
      </c>
      <c r="C35" s="9" t="s">
        <v>62</v>
      </c>
      <c r="D35" s="9" t="s">
        <v>63</v>
      </c>
    </row>
    <row r="36" customFormat="false" ht="15" hidden="false" customHeight="false" outlineLevel="0" collapsed="false">
      <c r="A36" s="10" t="s">
        <v>46</v>
      </c>
      <c r="B36" s="11" t="n">
        <v>400</v>
      </c>
      <c r="C36" s="11" t="n">
        <v>0</v>
      </c>
      <c r="D36" s="14" t="n">
        <f aca="false">(B36-C36)/B36</f>
        <v>1</v>
      </c>
    </row>
    <row r="37" customFormat="false" ht="15" hidden="false" customHeight="false" outlineLevel="0" collapsed="false">
      <c r="A37" s="10" t="s">
        <v>47</v>
      </c>
      <c r="B37" s="11" t="n">
        <v>324</v>
      </c>
      <c r="C37" s="11" t="n">
        <v>4</v>
      </c>
      <c r="D37" s="15" t="n">
        <f aca="false">(B37-C37)/B37</f>
        <v>0.987654320987654</v>
      </c>
    </row>
    <row r="38" customFormat="false" ht="15" hidden="false" customHeight="false" outlineLevel="0" collapsed="false">
      <c r="A38" s="10" t="s">
        <v>48</v>
      </c>
      <c r="B38" s="11" t="n">
        <v>299</v>
      </c>
      <c r="C38" s="11" t="n">
        <v>0</v>
      </c>
      <c r="D38" s="14" t="n">
        <f aca="false">(B38-C38)/B38</f>
        <v>1</v>
      </c>
    </row>
    <row r="39" customFormat="false" ht="15" hidden="false" customHeight="false" outlineLevel="0" collapsed="false">
      <c r="A39" s="10" t="s">
        <v>49</v>
      </c>
      <c r="B39" s="11" t="n">
        <v>250</v>
      </c>
      <c r="C39" s="11" t="n">
        <v>0</v>
      </c>
      <c r="D39" s="14" t="n">
        <f aca="false">(B39-C39)/B39</f>
        <v>1</v>
      </c>
    </row>
    <row r="40" customFormat="false" ht="15" hidden="false" customHeight="false" outlineLevel="0" collapsed="false">
      <c r="A40" s="10" t="s">
        <v>50</v>
      </c>
      <c r="B40" s="11" t="n">
        <v>261</v>
      </c>
      <c r="C40" s="11" t="n">
        <v>0</v>
      </c>
      <c r="D40" s="14" t="n">
        <f aca="false">(B40-C40)/B40</f>
        <v>1</v>
      </c>
    </row>
    <row r="41" customFormat="false" ht="15" hidden="false" customHeight="false" outlineLevel="0" collapsed="false">
      <c r="A41" s="10" t="s">
        <v>51</v>
      </c>
      <c r="B41" s="11" t="n">
        <v>171</v>
      </c>
      <c r="C41" s="11" t="n">
        <v>0</v>
      </c>
      <c r="D41" s="14" t="n">
        <f aca="false">(B41-C41)/B41</f>
        <v>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7" min="3" style="0" width="18"/>
  </cols>
  <sheetData>
    <row r="1" customFormat="false" ht="27.75" hidden="false" customHeight="true" outlineLevel="0" collapsed="false">
      <c r="A1" s="1" t="s">
        <v>64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9" t="s">
        <v>39</v>
      </c>
      <c r="B3" s="9" t="s">
        <v>65</v>
      </c>
      <c r="C3" s="9" t="s">
        <v>66</v>
      </c>
      <c r="D3" s="9" t="s">
        <v>53</v>
      </c>
      <c r="E3" s="9" t="s">
        <v>67</v>
      </c>
      <c r="F3" s="9" t="s">
        <v>68</v>
      </c>
      <c r="G3" s="9" t="s">
        <v>69</v>
      </c>
    </row>
    <row r="4" customFormat="false" ht="15" hidden="false" customHeight="false" outlineLevel="0" collapsed="false">
      <c r="A4" s="10" t="s">
        <v>46</v>
      </c>
      <c r="B4" s="10" t="s">
        <v>70</v>
      </c>
      <c r="C4" s="11" t="n">
        <v>13</v>
      </c>
      <c r="D4" s="11" t="n">
        <v>9</v>
      </c>
      <c r="E4" s="11" t="n">
        <v>0</v>
      </c>
      <c r="F4" s="11" t="n">
        <v>12</v>
      </c>
      <c r="G4" s="13" t="n">
        <v>2886340</v>
      </c>
    </row>
    <row r="5" customFormat="false" ht="15" hidden="false" customHeight="false" outlineLevel="0" collapsed="false">
      <c r="A5" s="10" t="s">
        <v>47</v>
      </c>
      <c r="B5" s="10" t="s">
        <v>70</v>
      </c>
      <c r="C5" s="11" t="n">
        <v>2</v>
      </c>
      <c r="D5" s="11" t="n">
        <v>1</v>
      </c>
      <c r="E5" s="11" t="n">
        <v>0</v>
      </c>
      <c r="F5" s="11" t="n">
        <v>2</v>
      </c>
      <c r="G5" s="13" t="n">
        <v>890868</v>
      </c>
    </row>
    <row r="6" customFormat="false" ht="15" hidden="false" customHeight="false" outlineLevel="0" collapsed="false">
      <c r="A6" s="10" t="s">
        <v>48</v>
      </c>
      <c r="B6" s="10" t="s">
        <v>70</v>
      </c>
      <c r="C6" s="11" t="n">
        <v>8</v>
      </c>
      <c r="D6" s="11" t="n">
        <v>7</v>
      </c>
      <c r="E6" s="11" t="n">
        <v>0</v>
      </c>
      <c r="F6" s="11" t="n">
        <v>7</v>
      </c>
      <c r="G6" s="13" t="n">
        <v>1528038</v>
      </c>
    </row>
    <row r="7" customFormat="false" ht="15" hidden="false" customHeight="false" outlineLevel="0" collapsed="false">
      <c r="A7" s="10" t="s">
        <v>49</v>
      </c>
      <c r="B7" s="10" t="s">
        <v>70</v>
      </c>
      <c r="C7" s="11" t="n">
        <v>11</v>
      </c>
      <c r="D7" s="11" t="n">
        <v>7</v>
      </c>
      <c r="E7" s="11" t="n">
        <v>0</v>
      </c>
      <c r="F7" s="11" t="n">
        <v>7</v>
      </c>
      <c r="G7" s="13" t="n">
        <v>3589068</v>
      </c>
    </row>
    <row r="8" customFormat="false" ht="15" hidden="false" customHeight="false" outlineLevel="0" collapsed="false">
      <c r="A8" s="10" t="s">
        <v>50</v>
      </c>
      <c r="B8" s="10" t="s">
        <v>70</v>
      </c>
      <c r="C8" s="11" t="n">
        <v>13</v>
      </c>
      <c r="D8" s="11" t="n">
        <v>10</v>
      </c>
      <c r="E8" s="11" t="n">
        <v>0</v>
      </c>
      <c r="F8" s="11" t="n">
        <v>11</v>
      </c>
      <c r="G8" s="13" t="n">
        <v>7169775</v>
      </c>
    </row>
    <row r="9" customFormat="false" ht="15" hidden="false" customHeight="false" outlineLevel="0" collapsed="false">
      <c r="A9" s="10" t="s">
        <v>51</v>
      </c>
      <c r="B9" s="10" t="s">
        <v>70</v>
      </c>
      <c r="C9" s="11" t="n">
        <v>15</v>
      </c>
      <c r="D9" s="11" t="n">
        <v>11</v>
      </c>
      <c r="E9" s="11" t="n">
        <v>0</v>
      </c>
      <c r="F9" s="11" t="n">
        <v>13</v>
      </c>
      <c r="G9" s="13" t="n">
        <v>7191200</v>
      </c>
    </row>
    <row r="10" customFormat="false" ht="15" hidden="false" customHeight="false" outlineLevel="0" collapsed="false">
      <c r="A10" s="16" t="s">
        <v>46</v>
      </c>
      <c r="B10" s="16" t="s">
        <v>71</v>
      </c>
      <c r="C10" s="17" t="n">
        <v>439</v>
      </c>
      <c r="D10" s="17" t="n">
        <v>327</v>
      </c>
      <c r="E10" s="17" t="n">
        <v>323</v>
      </c>
      <c r="F10" s="17" t="n">
        <v>11</v>
      </c>
      <c r="G10" s="18" t="n">
        <v>15833000</v>
      </c>
    </row>
    <row r="11" customFormat="false" ht="15" hidden="false" customHeight="false" outlineLevel="0" collapsed="false">
      <c r="A11" s="16" t="s">
        <v>47</v>
      </c>
      <c r="B11" s="16" t="s">
        <v>71</v>
      </c>
      <c r="C11" s="17" t="n">
        <v>433</v>
      </c>
      <c r="D11" s="17" t="n">
        <v>333</v>
      </c>
      <c r="E11" s="17" t="n">
        <v>331</v>
      </c>
      <c r="F11" s="17" t="n">
        <v>14</v>
      </c>
      <c r="G11" s="18" t="n">
        <v>12584259</v>
      </c>
    </row>
    <row r="12" customFormat="false" ht="15" hidden="false" customHeight="false" outlineLevel="0" collapsed="false">
      <c r="A12" s="16" t="s">
        <v>48</v>
      </c>
      <c r="B12" s="16" t="s">
        <v>71</v>
      </c>
      <c r="C12" s="17" t="n">
        <v>367</v>
      </c>
      <c r="D12" s="17" t="n">
        <v>294</v>
      </c>
      <c r="E12" s="17" t="n">
        <v>0</v>
      </c>
      <c r="F12" s="17" t="n">
        <v>322</v>
      </c>
      <c r="G12" s="18" t="n">
        <v>0</v>
      </c>
    </row>
    <row r="13" customFormat="false" ht="15" hidden="false" customHeight="false" outlineLevel="0" collapsed="false">
      <c r="A13" s="16" t="s">
        <v>49</v>
      </c>
      <c r="B13" s="16" t="s">
        <v>71</v>
      </c>
      <c r="C13" s="17" t="n">
        <v>360</v>
      </c>
      <c r="D13" s="17" t="n">
        <v>278</v>
      </c>
      <c r="E13" s="17" t="n">
        <v>0</v>
      </c>
      <c r="F13" s="17" t="n">
        <v>301</v>
      </c>
      <c r="G13" s="18" t="n">
        <v>0</v>
      </c>
    </row>
    <row r="14" customFormat="false" ht="15" hidden="false" customHeight="false" outlineLevel="0" collapsed="false">
      <c r="A14" s="16" t="s">
        <v>50</v>
      </c>
      <c r="B14" s="16" t="s">
        <v>71</v>
      </c>
      <c r="C14" s="17" t="n">
        <v>421</v>
      </c>
      <c r="D14" s="17" t="n">
        <v>316</v>
      </c>
      <c r="E14" s="17" t="n">
        <v>0</v>
      </c>
      <c r="F14" s="17" t="n">
        <v>348</v>
      </c>
      <c r="G14" s="18" t="n">
        <v>0</v>
      </c>
    </row>
    <row r="15" customFormat="false" ht="15" hidden="false" customHeight="false" outlineLevel="0" collapsed="false">
      <c r="A15" s="16" t="s">
        <v>51</v>
      </c>
      <c r="B15" s="16" t="s">
        <v>71</v>
      </c>
      <c r="C15" s="17" t="n">
        <v>350</v>
      </c>
      <c r="D15" s="17" t="n">
        <v>262</v>
      </c>
      <c r="E15" s="17" t="n">
        <v>0</v>
      </c>
      <c r="F15" s="17" t="n">
        <v>337</v>
      </c>
      <c r="G15" s="18" t="n">
        <v>3755617</v>
      </c>
    </row>
    <row r="16" customFormat="false" ht="15" hidden="false" customHeight="false" outlineLevel="0" collapsed="false">
      <c r="A16" s="10" t="s">
        <v>46</v>
      </c>
      <c r="B16" s="10" t="s">
        <v>72</v>
      </c>
      <c r="C16" s="11" t="n">
        <v>69</v>
      </c>
      <c r="D16" s="11" t="n">
        <v>44</v>
      </c>
      <c r="E16" s="11" t="n">
        <v>0</v>
      </c>
      <c r="F16" s="11" t="n">
        <v>64</v>
      </c>
      <c r="G16" s="13" t="n">
        <v>25084385</v>
      </c>
    </row>
    <row r="17" customFormat="false" ht="15" hidden="false" customHeight="false" outlineLevel="0" collapsed="false">
      <c r="A17" s="10" t="s">
        <v>47</v>
      </c>
      <c r="B17" s="10" t="s">
        <v>72</v>
      </c>
      <c r="C17" s="11" t="n">
        <v>106</v>
      </c>
      <c r="D17" s="11" t="n">
        <v>66</v>
      </c>
      <c r="E17" s="19" t="n">
        <v>1</v>
      </c>
      <c r="F17" s="11" t="n">
        <v>99</v>
      </c>
      <c r="G17" s="13" t="n">
        <v>34564648</v>
      </c>
    </row>
    <row r="18" customFormat="false" ht="15" hidden="false" customHeight="false" outlineLevel="0" collapsed="false">
      <c r="A18" s="10" t="s">
        <v>48</v>
      </c>
      <c r="B18" s="10" t="s">
        <v>72</v>
      </c>
      <c r="C18" s="11" t="n">
        <v>80</v>
      </c>
      <c r="D18" s="11" t="n">
        <v>52</v>
      </c>
      <c r="E18" s="11" t="n">
        <v>0</v>
      </c>
      <c r="F18" s="11" t="n">
        <v>71</v>
      </c>
      <c r="G18" s="13" t="n">
        <v>43784753</v>
      </c>
    </row>
    <row r="19" customFormat="false" ht="15" hidden="false" customHeight="false" outlineLevel="0" collapsed="false">
      <c r="A19" s="10" t="s">
        <v>49</v>
      </c>
      <c r="B19" s="10" t="s">
        <v>72</v>
      </c>
      <c r="C19" s="11" t="n">
        <v>87</v>
      </c>
      <c r="D19" s="11" t="n">
        <v>54</v>
      </c>
      <c r="E19" s="11" t="n">
        <v>0</v>
      </c>
      <c r="F19" s="11" t="n">
        <v>64</v>
      </c>
      <c r="G19" s="13" t="n">
        <v>29494023</v>
      </c>
    </row>
    <row r="20" customFormat="false" ht="15" hidden="false" customHeight="false" outlineLevel="0" collapsed="false">
      <c r="A20" s="10" t="s">
        <v>50</v>
      </c>
      <c r="B20" s="10" t="s">
        <v>72</v>
      </c>
      <c r="C20" s="11" t="n">
        <v>94</v>
      </c>
      <c r="D20" s="11" t="n">
        <v>77</v>
      </c>
      <c r="E20" s="11" t="n">
        <v>0</v>
      </c>
      <c r="F20" s="11" t="n">
        <v>84</v>
      </c>
      <c r="G20" s="13" t="n">
        <v>33620680</v>
      </c>
    </row>
    <row r="21" customFormat="false" ht="15" hidden="false" customHeight="false" outlineLevel="0" collapsed="false">
      <c r="A21" s="10" t="s">
        <v>51</v>
      </c>
      <c r="B21" s="10" t="s">
        <v>72</v>
      </c>
      <c r="C21" s="11" t="n">
        <v>42</v>
      </c>
      <c r="D21" s="11" t="n">
        <v>27</v>
      </c>
      <c r="E21" s="11" t="n">
        <v>0</v>
      </c>
      <c r="F21" s="11" t="n">
        <v>35</v>
      </c>
      <c r="G21" s="13" t="n">
        <v>8855188</v>
      </c>
    </row>
    <row r="22" customFormat="false" ht="15" hidden="false" customHeight="false" outlineLevel="0" collapsed="false">
      <c r="A22" s="10" t="s">
        <v>46</v>
      </c>
      <c r="B22" s="10" t="s">
        <v>73</v>
      </c>
      <c r="C22" s="11" t="n">
        <v>11</v>
      </c>
      <c r="D22" s="11" t="n">
        <v>8</v>
      </c>
      <c r="E22" s="11" t="n">
        <v>0</v>
      </c>
      <c r="F22" s="11" t="n">
        <v>9</v>
      </c>
      <c r="G22" s="13" t="n">
        <v>3030812</v>
      </c>
    </row>
    <row r="23" customFormat="false" ht="15" hidden="false" customHeight="false" outlineLevel="0" collapsed="false">
      <c r="A23" s="10" t="s">
        <v>47</v>
      </c>
      <c r="B23" s="10" t="s">
        <v>73</v>
      </c>
      <c r="C23" s="11" t="n">
        <v>1</v>
      </c>
      <c r="D23" s="11" t="n">
        <v>1</v>
      </c>
      <c r="E23" s="11" t="n">
        <v>0</v>
      </c>
      <c r="F23" s="11" t="n">
        <v>1</v>
      </c>
      <c r="G23" s="13" t="n">
        <v>587640</v>
      </c>
    </row>
    <row r="24" customFormat="false" ht="15" hidden="false" customHeight="false" outlineLevel="0" collapsed="false">
      <c r="A24" s="10" t="s">
        <v>48</v>
      </c>
      <c r="B24" s="10" t="s">
        <v>73</v>
      </c>
      <c r="C24" s="11" t="n">
        <v>7</v>
      </c>
      <c r="D24" s="11" t="n">
        <v>7</v>
      </c>
      <c r="E24" s="11" t="n">
        <v>0</v>
      </c>
      <c r="F24" s="11" t="n">
        <v>7</v>
      </c>
      <c r="G24" s="13" t="n">
        <v>918600</v>
      </c>
    </row>
    <row r="25" customFormat="false" ht="15" hidden="false" customHeight="false" outlineLevel="0" collapsed="false">
      <c r="A25" s="10" t="s">
        <v>46</v>
      </c>
      <c r="B25" s="10" t="s">
        <v>74</v>
      </c>
      <c r="C25" s="11" t="n">
        <v>34</v>
      </c>
      <c r="D25" s="11" t="n">
        <v>21</v>
      </c>
      <c r="E25" s="11" t="n">
        <v>0</v>
      </c>
      <c r="F25" s="11" t="n">
        <v>27</v>
      </c>
      <c r="G25" s="13" t="n">
        <v>17559231</v>
      </c>
    </row>
    <row r="26" customFormat="false" ht="15" hidden="false" customHeight="false" outlineLevel="0" collapsed="false">
      <c r="A26" s="10" t="s">
        <v>47</v>
      </c>
      <c r="B26" s="10" t="s">
        <v>74</v>
      </c>
      <c r="C26" s="11" t="n">
        <v>20</v>
      </c>
      <c r="D26" s="11" t="n">
        <v>10</v>
      </c>
      <c r="E26" s="11" t="n">
        <v>0</v>
      </c>
      <c r="F26" s="11" t="n">
        <v>14</v>
      </c>
      <c r="G26" s="13" t="n">
        <v>12134802</v>
      </c>
    </row>
    <row r="27" customFormat="false" ht="15" hidden="false" customHeight="false" outlineLevel="0" collapsed="false">
      <c r="A27" s="10" t="s">
        <v>48</v>
      </c>
      <c r="B27" s="10" t="s">
        <v>74</v>
      </c>
      <c r="C27" s="11" t="n">
        <v>8</v>
      </c>
      <c r="D27" s="11" t="n">
        <v>8</v>
      </c>
      <c r="E27" s="11" t="n">
        <v>0</v>
      </c>
      <c r="F27" s="11" t="n">
        <v>8</v>
      </c>
      <c r="G27" s="13" t="n">
        <v>3488056</v>
      </c>
    </row>
    <row r="28" customFormat="false" ht="15" hidden="false" customHeight="false" outlineLevel="0" collapsed="false">
      <c r="A28" s="10" t="s">
        <v>49</v>
      </c>
      <c r="B28" s="10" t="s">
        <v>74</v>
      </c>
      <c r="C28" s="11" t="n">
        <v>4</v>
      </c>
      <c r="D28" s="11" t="n">
        <v>2</v>
      </c>
      <c r="E28" s="11" t="n">
        <v>0</v>
      </c>
      <c r="F28" s="11" t="n">
        <v>2</v>
      </c>
      <c r="G28" s="13" t="n">
        <v>1312592</v>
      </c>
    </row>
    <row r="29" customFormat="false" ht="15" hidden="false" customHeight="false" outlineLevel="0" collapsed="false">
      <c r="A29" s="10" t="s">
        <v>46</v>
      </c>
      <c r="B29" s="10" t="s">
        <v>75</v>
      </c>
      <c r="C29" s="11" t="n">
        <v>19</v>
      </c>
      <c r="D29" s="11" t="n">
        <v>12</v>
      </c>
      <c r="E29" s="11" t="n">
        <v>0</v>
      </c>
      <c r="F29" s="11" t="n">
        <v>14</v>
      </c>
      <c r="G29" s="13" t="n">
        <v>4325305</v>
      </c>
    </row>
    <row r="30" customFormat="false" ht="15" hidden="false" customHeight="false" outlineLevel="0" collapsed="false">
      <c r="A30" s="10" t="s">
        <v>47</v>
      </c>
      <c r="B30" s="10" t="s">
        <v>75</v>
      </c>
      <c r="C30" s="11" t="n">
        <v>10</v>
      </c>
      <c r="D30" s="11" t="n">
        <v>4</v>
      </c>
      <c r="E30" s="11" t="n">
        <v>0</v>
      </c>
      <c r="F30" s="11" t="n">
        <v>8</v>
      </c>
      <c r="G30" s="13" t="n">
        <v>974719</v>
      </c>
    </row>
    <row r="31" customFormat="false" ht="15" hidden="false" customHeight="false" outlineLevel="0" collapsed="false">
      <c r="A31" s="10" t="s">
        <v>48</v>
      </c>
      <c r="B31" s="10" t="s">
        <v>75</v>
      </c>
      <c r="C31" s="11" t="n">
        <v>4</v>
      </c>
      <c r="D31" s="11" t="n">
        <v>3</v>
      </c>
      <c r="E31" s="11" t="n">
        <v>0</v>
      </c>
      <c r="F31" s="11" t="n">
        <v>4</v>
      </c>
      <c r="G31" s="13" t="n">
        <v>2484698</v>
      </c>
    </row>
    <row r="32" customFormat="false" ht="15" hidden="false" customHeight="false" outlineLevel="0" collapsed="false">
      <c r="A32" s="10" t="s">
        <v>49</v>
      </c>
      <c r="B32" s="10" t="s">
        <v>75</v>
      </c>
      <c r="C32" s="11" t="n">
        <v>4</v>
      </c>
      <c r="D32" s="11" t="n">
        <v>3</v>
      </c>
      <c r="E32" s="11" t="n">
        <v>0</v>
      </c>
      <c r="F32" s="11" t="n">
        <v>3</v>
      </c>
      <c r="G32" s="13" t="n">
        <v>443433</v>
      </c>
    </row>
    <row r="33" customFormat="false" ht="15" hidden="false" customHeight="false" outlineLevel="0" collapsed="false">
      <c r="A33" s="10" t="s">
        <v>50</v>
      </c>
      <c r="B33" s="10" t="s">
        <v>75</v>
      </c>
      <c r="C33" s="11" t="n">
        <v>6</v>
      </c>
      <c r="D33" s="11" t="n">
        <v>6</v>
      </c>
      <c r="E33" s="11" t="n">
        <v>0</v>
      </c>
      <c r="F33" s="11" t="n">
        <v>6</v>
      </c>
      <c r="G33" s="13" t="n">
        <v>1167342</v>
      </c>
    </row>
    <row r="34" customFormat="false" ht="15" hidden="false" customHeight="false" outlineLevel="0" collapsed="false">
      <c r="A34" s="10" t="s">
        <v>51</v>
      </c>
      <c r="B34" s="10" t="s">
        <v>75</v>
      </c>
      <c r="C34" s="11" t="n">
        <v>11</v>
      </c>
      <c r="D34" s="11" t="n">
        <v>7</v>
      </c>
      <c r="E34" s="11" t="n">
        <v>0</v>
      </c>
      <c r="F34" s="11" t="n">
        <v>9</v>
      </c>
      <c r="G34" s="13" t="n">
        <v>3209506</v>
      </c>
    </row>
    <row r="35" customFormat="false" ht="15" hidden="false" customHeight="false" outlineLevel="0" collapsed="false">
      <c r="A35" s="10" t="s">
        <v>46</v>
      </c>
      <c r="B35" s="10" t="s">
        <v>76</v>
      </c>
      <c r="C35" s="11" t="n">
        <v>89</v>
      </c>
      <c r="D35" s="11" t="n">
        <v>57</v>
      </c>
      <c r="E35" s="11" t="n">
        <v>0</v>
      </c>
      <c r="F35" s="11" t="n">
        <v>65</v>
      </c>
      <c r="G35" s="13" t="n">
        <v>16610100</v>
      </c>
    </row>
    <row r="36" customFormat="false" ht="15" hidden="false" customHeight="false" outlineLevel="0" collapsed="false">
      <c r="A36" s="10" t="s">
        <v>47</v>
      </c>
      <c r="B36" s="10" t="s">
        <v>76</v>
      </c>
      <c r="C36" s="11" t="n">
        <v>50</v>
      </c>
      <c r="D36" s="11" t="n">
        <v>36</v>
      </c>
      <c r="E36" s="11" t="n">
        <v>0</v>
      </c>
      <c r="F36" s="11" t="n">
        <v>45</v>
      </c>
      <c r="G36" s="13" t="n">
        <v>11240800</v>
      </c>
    </row>
    <row r="37" customFormat="false" ht="15" hidden="false" customHeight="false" outlineLevel="0" collapsed="false">
      <c r="A37" s="10" t="s">
        <v>48</v>
      </c>
      <c r="B37" s="10" t="s">
        <v>76</v>
      </c>
      <c r="C37" s="11" t="n">
        <v>52</v>
      </c>
      <c r="D37" s="11" t="n">
        <v>41</v>
      </c>
      <c r="E37" s="11" t="n">
        <v>0</v>
      </c>
      <c r="F37" s="11" t="n">
        <v>47</v>
      </c>
      <c r="G37" s="13" t="n">
        <v>14892000</v>
      </c>
    </row>
    <row r="38" customFormat="false" ht="15" hidden="false" customHeight="false" outlineLevel="0" collapsed="false">
      <c r="A38" s="10" t="s">
        <v>49</v>
      </c>
      <c r="B38" s="10" t="s">
        <v>76</v>
      </c>
      <c r="C38" s="11" t="n">
        <v>46</v>
      </c>
      <c r="D38" s="11" t="n">
        <v>32</v>
      </c>
      <c r="E38" s="11" t="n">
        <v>0</v>
      </c>
      <c r="F38" s="11" t="n">
        <v>37</v>
      </c>
      <c r="G38" s="13" t="n">
        <v>16315950</v>
      </c>
    </row>
    <row r="39" customFormat="false" ht="15" hidden="false" customHeight="false" outlineLevel="0" collapsed="false">
      <c r="A39" s="10" t="s">
        <v>50</v>
      </c>
      <c r="B39" s="10" t="s">
        <v>76</v>
      </c>
      <c r="C39" s="11" t="n">
        <v>29</v>
      </c>
      <c r="D39" s="11" t="n">
        <v>20</v>
      </c>
      <c r="E39" s="11" t="n">
        <v>0</v>
      </c>
      <c r="F39" s="11" t="n">
        <v>28</v>
      </c>
      <c r="G39" s="13" t="n">
        <v>12996210</v>
      </c>
    </row>
    <row r="40" customFormat="false" ht="15" hidden="false" customHeight="false" outlineLevel="0" collapsed="false">
      <c r="A40" s="10" t="s">
        <v>51</v>
      </c>
      <c r="B40" s="10" t="s">
        <v>76</v>
      </c>
      <c r="C40" s="11" t="n">
        <v>30</v>
      </c>
      <c r="D40" s="11" t="n">
        <v>21</v>
      </c>
      <c r="E40" s="11" t="n">
        <v>0</v>
      </c>
      <c r="F40" s="11" t="n">
        <v>27</v>
      </c>
      <c r="G40" s="13" t="n">
        <v>6483150</v>
      </c>
    </row>
    <row r="41" customFormat="false" ht="15" hidden="false" customHeight="false" outlineLevel="0" collapsed="false">
      <c r="A41" s="10" t="s">
        <v>46</v>
      </c>
      <c r="B41" s="10" t="s">
        <v>77</v>
      </c>
      <c r="C41" s="11" t="n">
        <v>30</v>
      </c>
      <c r="D41" s="11" t="n">
        <v>28</v>
      </c>
      <c r="E41" s="11" t="n">
        <v>0</v>
      </c>
      <c r="F41" s="11" t="n">
        <v>28</v>
      </c>
      <c r="G41" s="13" t="n">
        <v>0</v>
      </c>
    </row>
    <row r="42" customFormat="false" ht="15" hidden="false" customHeight="false" outlineLevel="0" collapsed="false">
      <c r="A42" s="10" t="s">
        <v>46</v>
      </c>
      <c r="B42" s="10" t="s">
        <v>78</v>
      </c>
      <c r="C42" s="11" t="n">
        <v>4</v>
      </c>
      <c r="D42" s="11" t="n">
        <v>4</v>
      </c>
      <c r="E42" s="11" t="n">
        <v>0</v>
      </c>
      <c r="F42" s="11" t="n">
        <v>4</v>
      </c>
      <c r="G42" s="13" t="n">
        <v>1225000</v>
      </c>
    </row>
    <row r="43" customFormat="false" ht="15" hidden="false" customHeight="false" outlineLevel="0" collapsed="false">
      <c r="A43" s="10" t="s">
        <v>48</v>
      </c>
      <c r="B43" s="10" t="s">
        <v>78</v>
      </c>
      <c r="C43" s="11" t="n">
        <v>3</v>
      </c>
      <c r="D43" s="11" t="n">
        <v>2</v>
      </c>
      <c r="E43" s="11" t="n">
        <v>0</v>
      </c>
      <c r="F43" s="11" t="n">
        <v>3</v>
      </c>
      <c r="G43" s="13" t="n">
        <v>750000</v>
      </c>
    </row>
    <row r="44" customFormat="false" ht="15" hidden="false" customHeight="false" outlineLevel="0" collapsed="false">
      <c r="A44" s="10" t="s">
        <v>46</v>
      </c>
      <c r="B44" s="10" t="s">
        <v>79</v>
      </c>
      <c r="C44" s="11" t="n">
        <v>15</v>
      </c>
      <c r="D44" s="11" t="n">
        <v>12</v>
      </c>
      <c r="E44" s="11" t="n">
        <v>0</v>
      </c>
      <c r="F44" s="11" t="n">
        <v>14</v>
      </c>
      <c r="G44" s="13" t="n">
        <v>39119998</v>
      </c>
    </row>
    <row r="45" customFormat="false" ht="15" hidden="false" customHeight="false" outlineLevel="0" collapsed="false">
      <c r="A45" s="10" t="s">
        <v>47</v>
      </c>
      <c r="B45" s="10" t="s">
        <v>79</v>
      </c>
      <c r="C45" s="11" t="n">
        <v>24</v>
      </c>
      <c r="D45" s="11" t="n">
        <v>17</v>
      </c>
      <c r="E45" s="11" t="n">
        <v>0</v>
      </c>
      <c r="F45" s="11" t="n">
        <v>19</v>
      </c>
      <c r="G45" s="13" t="n">
        <v>67476150</v>
      </c>
    </row>
    <row r="46" customFormat="false" ht="15" hidden="false" customHeight="false" outlineLevel="0" collapsed="false">
      <c r="A46" s="10" t="s">
        <v>48</v>
      </c>
      <c r="B46" s="10" t="s">
        <v>79</v>
      </c>
      <c r="C46" s="11" t="n">
        <v>10</v>
      </c>
      <c r="D46" s="11" t="n">
        <v>8</v>
      </c>
      <c r="E46" s="11" t="n">
        <v>0</v>
      </c>
      <c r="F46" s="11" t="n">
        <v>8</v>
      </c>
      <c r="G46" s="13" t="n">
        <v>73783867</v>
      </c>
    </row>
    <row r="47" customFormat="false" ht="15" hidden="false" customHeight="false" outlineLevel="0" collapsed="false">
      <c r="A47" s="10" t="s">
        <v>49</v>
      </c>
      <c r="B47" s="10" t="s">
        <v>79</v>
      </c>
      <c r="C47" s="11" t="n">
        <v>19</v>
      </c>
      <c r="D47" s="11" t="n">
        <v>16</v>
      </c>
      <c r="E47" s="11" t="n">
        <v>0</v>
      </c>
      <c r="F47" s="11" t="n">
        <v>18</v>
      </c>
      <c r="G47" s="13" t="n">
        <v>171962273</v>
      </c>
    </row>
    <row r="48" customFormat="false" ht="15" hidden="false" customHeight="false" outlineLevel="0" collapsed="false">
      <c r="A48" s="10" t="s">
        <v>50</v>
      </c>
      <c r="B48" s="10" t="s">
        <v>79</v>
      </c>
      <c r="C48" s="11" t="n">
        <v>7</v>
      </c>
      <c r="D48" s="11" t="n">
        <v>3</v>
      </c>
      <c r="E48" s="11" t="n">
        <v>0</v>
      </c>
      <c r="F48" s="11" t="n">
        <v>5</v>
      </c>
      <c r="G48" s="13" t="n">
        <v>45200608</v>
      </c>
    </row>
    <row r="49" customFormat="false" ht="15" hidden="false" customHeight="false" outlineLevel="0" collapsed="false">
      <c r="A49" s="10" t="s">
        <v>51</v>
      </c>
      <c r="B49" s="10" t="s">
        <v>79</v>
      </c>
      <c r="C49" s="11" t="n">
        <v>7</v>
      </c>
      <c r="D49" s="11" t="n">
        <v>5</v>
      </c>
      <c r="E49" s="11" t="n">
        <v>0</v>
      </c>
      <c r="F49" s="11" t="n">
        <v>6</v>
      </c>
      <c r="G49" s="13" t="n">
        <v>65255037</v>
      </c>
    </row>
    <row r="50" customFormat="false" ht="15" hidden="false" customHeight="false" outlineLevel="0" collapsed="false">
      <c r="A50" s="10" t="s">
        <v>46</v>
      </c>
      <c r="B50" s="10" t="s">
        <v>80</v>
      </c>
      <c r="C50" s="11" t="n">
        <v>37</v>
      </c>
      <c r="D50" s="11" t="n">
        <v>22</v>
      </c>
      <c r="E50" s="11" t="n">
        <v>0</v>
      </c>
      <c r="F50" s="11" t="n">
        <v>26</v>
      </c>
      <c r="G50" s="13" t="n">
        <v>16461200</v>
      </c>
    </row>
    <row r="51" customFormat="false" ht="15" hidden="false" customHeight="false" outlineLevel="0" collapsed="false">
      <c r="A51" s="10" t="s">
        <v>47</v>
      </c>
      <c r="B51" s="10" t="s">
        <v>80</v>
      </c>
      <c r="C51" s="11" t="n">
        <v>30</v>
      </c>
      <c r="D51" s="11" t="n">
        <v>23</v>
      </c>
      <c r="E51" s="19" t="n">
        <v>2</v>
      </c>
      <c r="F51" s="11" t="n">
        <v>27</v>
      </c>
      <c r="G51" s="13" t="n">
        <v>21870700</v>
      </c>
    </row>
    <row r="52" customFormat="false" ht="15" hidden="false" customHeight="false" outlineLevel="0" collapsed="false">
      <c r="A52" s="10" t="s">
        <v>48</v>
      </c>
      <c r="B52" s="10" t="s">
        <v>80</v>
      </c>
      <c r="C52" s="11" t="n">
        <v>31</v>
      </c>
      <c r="D52" s="11" t="n">
        <v>23</v>
      </c>
      <c r="E52" s="11" t="n">
        <v>0</v>
      </c>
      <c r="F52" s="11" t="n">
        <v>27</v>
      </c>
      <c r="G52" s="13" t="n">
        <v>20768600</v>
      </c>
    </row>
    <row r="53" customFormat="false" ht="15" hidden="false" customHeight="false" outlineLevel="0" collapsed="false">
      <c r="A53" s="10" t="s">
        <v>49</v>
      </c>
      <c r="B53" s="10" t="s">
        <v>80</v>
      </c>
      <c r="C53" s="11" t="n">
        <v>12</v>
      </c>
      <c r="D53" s="11" t="n">
        <v>9</v>
      </c>
      <c r="E53" s="11" t="n">
        <v>0</v>
      </c>
      <c r="F53" s="11" t="n">
        <v>12</v>
      </c>
      <c r="G53" s="13" t="n">
        <v>2483000</v>
      </c>
    </row>
    <row r="54" customFormat="false" ht="15" hidden="false" customHeight="false" outlineLevel="0" collapsed="false">
      <c r="A54" s="10" t="s">
        <v>50</v>
      </c>
      <c r="B54" s="10" t="s">
        <v>80</v>
      </c>
      <c r="C54" s="11" t="n">
        <v>17</v>
      </c>
      <c r="D54" s="11" t="n">
        <v>14</v>
      </c>
      <c r="E54" s="11" t="n">
        <v>0</v>
      </c>
      <c r="F54" s="11" t="n">
        <v>17</v>
      </c>
      <c r="G54" s="13" t="n">
        <v>13274800</v>
      </c>
    </row>
    <row r="55" customFormat="false" ht="15" hidden="false" customHeight="false" outlineLevel="0" collapsed="false">
      <c r="A55" s="10" t="s">
        <v>51</v>
      </c>
      <c r="B55" s="10" t="s">
        <v>80</v>
      </c>
      <c r="C55" s="11" t="n">
        <v>18</v>
      </c>
      <c r="D55" s="11" t="n">
        <v>15</v>
      </c>
      <c r="E55" s="11" t="n">
        <v>0</v>
      </c>
      <c r="F55" s="11" t="n">
        <v>17</v>
      </c>
      <c r="G55" s="13" t="n">
        <v>2749500</v>
      </c>
    </row>
    <row r="56" customFormat="false" ht="15" hidden="false" customHeight="false" outlineLevel="0" collapsed="false">
      <c r="A56" s="10" t="s">
        <v>46</v>
      </c>
      <c r="B56" s="10" t="s">
        <v>81</v>
      </c>
      <c r="C56" s="11" t="n">
        <v>42</v>
      </c>
      <c r="D56" s="11" t="n">
        <v>26</v>
      </c>
      <c r="E56" s="11" t="n">
        <v>0</v>
      </c>
      <c r="F56" s="11" t="n">
        <v>31</v>
      </c>
      <c r="G56" s="13" t="n">
        <v>7429700</v>
      </c>
    </row>
    <row r="57" customFormat="false" ht="15" hidden="false" customHeight="false" outlineLevel="0" collapsed="false">
      <c r="A57" s="10" t="s">
        <v>47</v>
      </c>
      <c r="B57" s="10" t="s">
        <v>81</v>
      </c>
      <c r="C57" s="11" t="n">
        <v>51</v>
      </c>
      <c r="D57" s="11" t="n">
        <v>38</v>
      </c>
      <c r="E57" s="19" t="n">
        <v>1</v>
      </c>
      <c r="F57" s="11" t="n">
        <v>40</v>
      </c>
      <c r="G57" s="13" t="n">
        <v>11920000</v>
      </c>
    </row>
    <row r="58" customFormat="false" ht="15" hidden="false" customHeight="false" outlineLevel="0" collapsed="false">
      <c r="A58" s="10" t="s">
        <v>48</v>
      </c>
      <c r="B58" s="10" t="s">
        <v>81</v>
      </c>
      <c r="C58" s="11" t="n">
        <v>31</v>
      </c>
      <c r="D58" s="11" t="n">
        <v>25</v>
      </c>
      <c r="E58" s="11" t="n">
        <v>0</v>
      </c>
      <c r="F58" s="11" t="n">
        <v>28</v>
      </c>
      <c r="G58" s="13" t="n">
        <v>5142000</v>
      </c>
    </row>
    <row r="59" customFormat="false" ht="15" hidden="false" customHeight="false" outlineLevel="0" collapsed="false">
      <c r="A59" s="10" t="s">
        <v>49</v>
      </c>
      <c r="B59" s="10" t="s">
        <v>81</v>
      </c>
      <c r="C59" s="11" t="n">
        <v>24</v>
      </c>
      <c r="D59" s="11" t="n">
        <v>18</v>
      </c>
      <c r="E59" s="11" t="n">
        <v>0</v>
      </c>
      <c r="F59" s="11" t="n">
        <v>22</v>
      </c>
      <c r="G59" s="13" t="n">
        <v>7226300</v>
      </c>
    </row>
    <row r="60" customFormat="false" ht="15" hidden="false" customHeight="false" outlineLevel="0" collapsed="false">
      <c r="A60" s="10" t="s">
        <v>50</v>
      </c>
      <c r="B60" s="10" t="s">
        <v>81</v>
      </c>
      <c r="C60" s="11" t="n">
        <v>25</v>
      </c>
      <c r="D60" s="11" t="n">
        <v>19</v>
      </c>
      <c r="E60" s="11" t="n">
        <v>0</v>
      </c>
      <c r="F60" s="11" t="n">
        <v>21</v>
      </c>
      <c r="G60" s="13" t="n">
        <v>5547800</v>
      </c>
    </row>
    <row r="61" customFormat="false" ht="15" hidden="false" customHeight="false" outlineLevel="0" collapsed="false">
      <c r="A61" s="10" t="s">
        <v>51</v>
      </c>
      <c r="B61" s="10" t="s">
        <v>81</v>
      </c>
      <c r="C61" s="11" t="n">
        <v>28</v>
      </c>
      <c r="D61" s="11" t="n">
        <v>16</v>
      </c>
      <c r="E61" s="11" t="n">
        <v>0</v>
      </c>
      <c r="F61" s="11" t="n">
        <v>17</v>
      </c>
      <c r="G61" s="13" t="n">
        <v>5588400</v>
      </c>
    </row>
    <row r="62" customFormat="false" ht="15" hidden="false" customHeight="false" outlineLevel="0" collapsed="false">
      <c r="A62" s="10" t="s">
        <v>46</v>
      </c>
      <c r="B62" s="10" t="s">
        <v>82</v>
      </c>
      <c r="C62" s="11" t="n">
        <v>23</v>
      </c>
      <c r="D62" s="11" t="n">
        <v>18</v>
      </c>
      <c r="E62" s="11" t="n">
        <v>0</v>
      </c>
      <c r="F62" s="11" t="n">
        <v>22</v>
      </c>
      <c r="G62" s="13" t="n">
        <v>11589678</v>
      </c>
    </row>
    <row r="63" customFormat="false" ht="15" hidden="false" customHeight="false" outlineLevel="0" collapsed="false">
      <c r="A63" s="10" t="s">
        <v>47</v>
      </c>
      <c r="B63" s="10" t="s">
        <v>82</v>
      </c>
      <c r="C63" s="11" t="n">
        <v>10</v>
      </c>
      <c r="D63" s="11" t="n">
        <v>8</v>
      </c>
      <c r="E63" s="11" t="n">
        <v>0</v>
      </c>
      <c r="F63" s="11" t="n">
        <v>9</v>
      </c>
      <c r="G63" s="13" t="n">
        <v>1846800</v>
      </c>
    </row>
    <row r="64" customFormat="false" ht="15" hidden="false" customHeight="false" outlineLevel="0" collapsed="false">
      <c r="A64" s="10" t="s">
        <v>48</v>
      </c>
      <c r="B64" s="10" t="s">
        <v>82</v>
      </c>
      <c r="C64" s="11" t="n">
        <v>16</v>
      </c>
      <c r="D64" s="11" t="n">
        <v>14</v>
      </c>
      <c r="E64" s="11" t="n">
        <v>0</v>
      </c>
      <c r="F64" s="11" t="n">
        <v>16</v>
      </c>
      <c r="G64" s="13" t="n">
        <v>6021000</v>
      </c>
    </row>
    <row r="65" customFormat="false" ht="15" hidden="false" customHeight="false" outlineLevel="0" collapsed="false">
      <c r="A65" s="10" t="s">
        <v>49</v>
      </c>
      <c r="B65" s="10" t="s">
        <v>82</v>
      </c>
      <c r="C65" s="11" t="n">
        <v>12</v>
      </c>
      <c r="D65" s="11" t="n">
        <v>10</v>
      </c>
      <c r="E65" s="11" t="n">
        <v>0</v>
      </c>
      <c r="F65" s="11" t="n">
        <v>12</v>
      </c>
      <c r="G65" s="13" t="n">
        <v>5133000</v>
      </c>
    </row>
    <row r="66" customFormat="false" ht="15" hidden="false" customHeight="false" outlineLevel="0" collapsed="false">
      <c r="A66" s="10" t="s">
        <v>50</v>
      </c>
      <c r="B66" s="10" t="s">
        <v>82</v>
      </c>
      <c r="C66" s="11" t="n">
        <v>19</v>
      </c>
      <c r="D66" s="11" t="n">
        <v>14</v>
      </c>
      <c r="E66" s="11" t="n">
        <v>0</v>
      </c>
      <c r="F66" s="11" t="n">
        <v>18</v>
      </c>
      <c r="G66" s="13" t="n">
        <v>5026300</v>
      </c>
    </row>
    <row r="67" customFormat="false" ht="15" hidden="false" customHeight="false" outlineLevel="0" collapsed="false">
      <c r="A67" s="10" t="s">
        <v>51</v>
      </c>
      <c r="B67" s="10" t="s">
        <v>82</v>
      </c>
      <c r="C67" s="11" t="n">
        <v>9</v>
      </c>
      <c r="D67" s="11" t="n">
        <v>7</v>
      </c>
      <c r="E67" s="11" t="n">
        <v>0</v>
      </c>
      <c r="F67" s="11" t="n">
        <v>9</v>
      </c>
      <c r="G67" s="13" t="n">
        <v>2002000</v>
      </c>
    </row>
    <row r="68" customFormat="false" ht="15" hidden="false" customHeight="false" outlineLevel="0" collapsed="false">
      <c r="A68" s="10" t="s">
        <v>46</v>
      </c>
      <c r="B68" s="10" t="s">
        <v>83</v>
      </c>
      <c r="C68" s="11" t="n">
        <v>10</v>
      </c>
      <c r="D68" s="11" t="n">
        <v>8</v>
      </c>
      <c r="E68" s="11" t="n">
        <v>0</v>
      </c>
      <c r="F68" s="11" t="n">
        <v>10</v>
      </c>
      <c r="G68" s="13" t="n">
        <v>15399091</v>
      </c>
    </row>
    <row r="69" customFormat="false" ht="15" hidden="false" customHeight="false" outlineLevel="0" collapsed="false">
      <c r="A69" s="10" t="s">
        <v>47</v>
      </c>
      <c r="B69" s="10" t="s">
        <v>83</v>
      </c>
      <c r="C69" s="11" t="n">
        <v>18</v>
      </c>
      <c r="D69" s="11" t="n">
        <v>14</v>
      </c>
      <c r="E69" s="11" t="n">
        <v>0</v>
      </c>
      <c r="F69" s="11" t="n">
        <v>16</v>
      </c>
      <c r="G69" s="13" t="n">
        <v>8143800</v>
      </c>
    </row>
    <row r="70" customFormat="false" ht="15" hidden="false" customHeight="false" outlineLevel="0" collapsed="false">
      <c r="A70" s="10" t="s">
        <v>48</v>
      </c>
      <c r="B70" s="10" t="s">
        <v>83</v>
      </c>
      <c r="C70" s="11" t="n">
        <v>15</v>
      </c>
      <c r="D70" s="11" t="n">
        <v>13</v>
      </c>
      <c r="E70" s="11" t="n">
        <v>0</v>
      </c>
      <c r="F70" s="11" t="n">
        <v>14</v>
      </c>
      <c r="G70" s="13" t="n">
        <v>7306700</v>
      </c>
    </row>
    <row r="71" customFormat="false" ht="15" hidden="false" customHeight="false" outlineLevel="0" collapsed="false">
      <c r="A71" s="10" t="s">
        <v>49</v>
      </c>
      <c r="B71" s="10" t="s">
        <v>83</v>
      </c>
      <c r="C71" s="11" t="n">
        <v>9</v>
      </c>
      <c r="D71" s="11" t="n">
        <v>6</v>
      </c>
      <c r="E71" s="11" t="n">
        <v>0</v>
      </c>
      <c r="F71" s="11" t="n">
        <v>8</v>
      </c>
      <c r="G71" s="13" t="n">
        <v>2674350</v>
      </c>
    </row>
    <row r="72" customFormat="false" ht="15" hidden="false" customHeight="false" outlineLevel="0" collapsed="false">
      <c r="A72" s="10" t="s">
        <v>50</v>
      </c>
      <c r="B72" s="10" t="s">
        <v>83</v>
      </c>
      <c r="C72" s="11" t="n">
        <v>16</v>
      </c>
      <c r="D72" s="11" t="n">
        <v>13</v>
      </c>
      <c r="E72" s="11" t="n">
        <v>0</v>
      </c>
      <c r="F72" s="11" t="n">
        <v>14</v>
      </c>
      <c r="G72" s="13" t="n">
        <v>4383050</v>
      </c>
    </row>
    <row r="73" customFormat="false" ht="15" hidden="false" customHeight="false" outlineLevel="0" collapsed="false">
      <c r="A73" s="10" t="s">
        <v>51</v>
      </c>
      <c r="B73" s="10" t="s">
        <v>83</v>
      </c>
      <c r="C73" s="11" t="n">
        <v>8</v>
      </c>
      <c r="D73" s="11" t="n">
        <v>4</v>
      </c>
      <c r="E73" s="11" t="n">
        <v>0</v>
      </c>
      <c r="F73" s="11" t="n">
        <v>7</v>
      </c>
      <c r="G73" s="13" t="n">
        <v>2811450</v>
      </c>
    </row>
    <row r="74" customFormat="false" ht="15" hidden="false" customHeight="false" outlineLevel="0" collapsed="false">
      <c r="A74" s="10" t="s">
        <v>46</v>
      </c>
      <c r="B74" s="10" t="s">
        <v>84</v>
      </c>
      <c r="C74" s="11" t="n">
        <v>22</v>
      </c>
      <c r="D74" s="11" t="n">
        <v>17</v>
      </c>
      <c r="E74" s="11" t="n">
        <v>0</v>
      </c>
      <c r="F74" s="11" t="n">
        <v>17</v>
      </c>
      <c r="G74" s="13" t="n">
        <v>3883500</v>
      </c>
    </row>
    <row r="75" customFormat="false" ht="15" hidden="false" customHeight="false" outlineLevel="0" collapsed="false">
      <c r="A75" s="10" t="s">
        <v>47</v>
      </c>
      <c r="B75" s="10" t="s">
        <v>84</v>
      </c>
      <c r="C75" s="11" t="n">
        <v>10</v>
      </c>
      <c r="D75" s="11" t="n">
        <v>9</v>
      </c>
      <c r="E75" s="11" t="n">
        <v>0</v>
      </c>
      <c r="F75" s="11" t="n">
        <v>9</v>
      </c>
      <c r="G75" s="13" t="n">
        <v>1565000</v>
      </c>
    </row>
    <row r="76" customFormat="false" ht="15" hidden="false" customHeight="false" outlineLevel="0" collapsed="false">
      <c r="A76" s="10" t="s">
        <v>48</v>
      </c>
      <c r="B76" s="10" t="s">
        <v>84</v>
      </c>
      <c r="C76" s="11" t="n">
        <v>13</v>
      </c>
      <c r="D76" s="11" t="n">
        <v>12</v>
      </c>
      <c r="E76" s="11" t="n">
        <v>0</v>
      </c>
      <c r="F76" s="11" t="n">
        <v>12</v>
      </c>
      <c r="G76" s="13" t="n">
        <v>2885000</v>
      </c>
    </row>
    <row r="77" customFormat="false" ht="15" hidden="false" customHeight="false" outlineLevel="0" collapsed="false">
      <c r="A77" s="10" t="s">
        <v>49</v>
      </c>
      <c r="B77" s="10" t="s">
        <v>84</v>
      </c>
      <c r="C77" s="11" t="n">
        <v>8</v>
      </c>
      <c r="D77" s="11" t="n">
        <v>7</v>
      </c>
      <c r="E77" s="11" t="n">
        <v>0</v>
      </c>
      <c r="F77" s="11" t="n">
        <v>8</v>
      </c>
      <c r="G77" s="13" t="n">
        <v>6612700</v>
      </c>
    </row>
    <row r="78" customFormat="false" ht="15" hidden="false" customHeight="false" outlineLevel="0" collapsed="false">
      <c r="A78" s="10" t="s">
        <v>50</v>
      </c>
      <c r="B78" s="10" t="s">
        <v>84</v>
      </c>
      <c r="C78" s="11" t="n">
        <v>9</v>
      </c>
      <c r="D78" s="11" t="n">
        <v>7</v>
      </c>
      <c r="E78" s="11" t="n">
        <v>0</v>
      </c>
      <c r="F78" s="11" t="n">
        <v>8</v>
      </c>
      <c r="G78" s="13" t="n">
        <v>1094000</v>
      </c>
    </row>
    <row r="79" customFormat="false" ht="15" hidden="false" customHeight="false" outlineLevel="0" collapsed="false">
      <c r="A79" s="10" t="s">
        <v>51</v>
      </c>
      <c r="B79" s="10" t="s">
        <v>84</v>
      </c>
      <c r="C79" s="11" t="n">
        <v>1</v>
      </c>
      <c r="D79" s="11" t="n">
        <v>1</v>
      </c>
      <c r="E79" s="11" t="n">
        <v>0</v>
      </c>
      <c r="F79" s="11" t="n">
        <v>1</v>
      </c>
      <c r="G79" s="13" t="n">
        <v>1094000</v>
      </c>
    </row>
    <row r="80" customFormat="false" ht="15" hidden="false" customHeight="false" outlineLevel="0" collapsed="false">
      <c r="A80" s="10" t="s">
        <v>46</v>
      </c>
      <c r="B80" s="10" t="s">
        <v>85</v>
      </c>
      <c r="C80" s="11" t="n">
        <v>8</v>
      </c>
      <c r="D80" s="11" t="n">
        <v>6</v>
      </c>
      <c r="E80" s="11" t="n">
        <v>0</v>
      </c>
      <c r="F80" s="11" t="n">
        <v>7</v>
      </c>
      <c r="G80" s="13" t="n">
        <v>3168350</v>
      </c>
    </row>
    <row r="81" customFormat="false" ht="15" hidden="false" customHeight="false" outlineLevel="0" collapsed="false">
      <c r="A81" s="10" t="s">
        <v>47</v>
      </c>
      <c r="B81" s="10" t="s">
        <v>85</v>
      </c>
      <c r="C81" s="11" t="n">
        <v>26</v>
      </c>
      <c r="D81" s="11" t="n">
        <v>19</v>
      </c>
      <c r="E81" s="11" t="n">
        <v>0</v>
      </c>
      <c r="F81" s="11" t="n">
        <v>24</v>
      </c>
      <c r="G81" s="13" t="n">
        <v>9623600</v>
      </c>
    </row>
    <row r="82" customFormat="false" ht="15" hidden="false" customHeight="false" outlineLevel="0" collapsed="false">
      <c r="A82" s="10" t="s">
        <v>48</v>
      </c>
      <c r="B82" s="10" t="s">
        <v>85</v>
      </c>
      <c r="C82" s="11" t="n">
        <v>19</v>
      </c>
      <c r="D82" s="11" t="n">
        <v>15</v>
      </c>
      <c r="E82" s="11" t="n">
        <v>0</v>
      </c>
      <c r="F82" s="11" t="n">
        <v>16</v>
      </c>
      <c r="G82" s="13" t="n">
        <v>10299450</v>
      </c>
    </row>
    <row r="83" customFormat="false" ht="15" hidden="false" customHeight="false" outlineLevel="0" collapsed="false">
      <c r="A83" s="10" t="s">
        <v>49</v>
      </c>
      <c r="B83" s="10" t="s">
        <v>85</v>
      </c>
      <c r="C83" s="11" t="n">
        <v>16</v>
      </c>
      <c r="D83" s="11" t="n">
        <v>11</v>
      </c>
      <c r="E83" s="11" t="n">
        <v>0</v>
      </c>
      <c r="F83" s="11" t="n">
        <v>11</v>
      </c>
      <c r="G83" s="13" t="n">
        <v>9360171</v>
      </c>
    </row>
    <row r="84" customFormat="false" ht="15" hidden="false" customHeight="false" outlineLevel="0" collapsed="false">
      <c r="A84" s="10" t="s">
        <v>50</v>
      </c>
      <c r="B84" s="10" t="s">
        <v>85</v>
      </c>
      <c r="C84" s="11" t="n">
        <v>27</v>
      </c>
      <c r="D84" s="11" t="n">
        <v>14</v>
      </c>
      <c r="E84" s="11" t="n">
        <v>0</v>
      </c>
      <c r="F84" s="11" t="n">
        <v>19</v>
      </c>
      <c r="G84" s="13" t="n">
        <v>6200441</v>
      </c>
    </row>
    <row r="85" customFormat="false" ht="15" hidden="false" customHeight="false" outlineLevel="0" collapsed="false">
      <c r="A85" s="10" t="s">
        <v>51</v>
      </c>
      <c r="B85" s="10" t="s">
        <v>85</v>
      </c>
      <c r="C85" s="11" t="n">
        <v>19</v>
      </c>
      <c r="D85" s="11" t="n">
        <v>11</v>
      </c>
      <c r="E85" s="11" t="n">
        <v>0</v>
      </c>
      <c r="F85" s="11" t="n">
        <v>17</v>
      </c>
      <c r="G85" s="13" t="n">
        <v>6731985</v>
      </c>
    </row>
    <row r="86" customFormat="false" ht="15" hidden="false" customHeight="false" outlineLevel="0" collapsed="false">
      <c r="A86" s="10" t="s">
        <v>46</v>
      </c>
      <c r="B86" s="10" t="s">
        <v>86</v>
      </c>
      <c r="C86" s="11" t="n">
        <v>18</v>
      </c>
      <c r="D86" s="11" t="n">
        <v>7</v>
      </c>
      <c r="E86" s="11" t="n">
        <v>0</v>
      </c>
      <c r="F86" s="11" t="n">
        <v>10</v>
      </c>
      <c r="G86" s="13" t="n">
        <v>12337220</v>
      </c>
    </row>
    <row r="87" customFormat="false" ht="15" hidden="false" customHeight="false" outlineLevel="0" collapsed="false">
      <c r="A87" s="10" t="s">
        <v>47</v>
      </c>
      <c r="B87" s="10" t="s">
        <v>86</v>
      </c>
      <c r="C87" s="11" t="n">
        <v>9</v>
      </c>
      <c r="D87" s="11" t="n">
        <v>6</v>
      </c>
      <c r="E87" s="11" t="n">
        <v>0</v>
      </c>
      <c r="F87" s="11" t="n">
        <v>7</v>
      </c>
      <c r="G87" s="13" t="n">
        <v>9336351</v>
      </c>
    </row>
    <row r="88" customFormat="false" ht="15" hidden="false" customHeight="false" outlineLevel="0" collapsed="false">
      <c r="A88" s="10" t="s">
        <v>48</v>
      </c>
      <c r="B88" s="10" t="s">
        <v>86</v>
      </c>
      <c r="C88" s="11" t="n">
        <v>10</v>
      </c>
      <c r="D88" s="11" t="n">
        <v>7</v>
      </c>
      <c r="E88" s="11" t="n">
        <v>0</v>
      </c>
      <c r="F88" s="11" t="n">
        <v>9</v>
      </c>
      <c r="G88" s="13" t="n">
        <v>7223886</v>
      </c>
    </row>
    <row r="89" customFormat="false" ht="15" hidden="false" customHeight="false" outlineLevel="0" collapsed="false">
      <c r="A89" s="10" t="s">
        <v>49</v>
      </c>
      <c r="B89" s="10" t="s">
        <v>86</v>
      </c>
      <c r="C89" s="11" t="n">
        <v>11</v>
      </c>
      <c r="D89" s="11" t="n">
        <v>7</v>
      </c>
      <c r="E89" s="11" t="n">
        <v>0</v>
      </c>
      <c r="F89" s="11" t="n">
        <v>8</v>
      </c>
      <c r="G89" s="13" t="n">
        <v>3926000</v>
      </c>
    </row>
    <row r="90" customFormat="false" ht="15" hidden="false" customHeight="false" outlineLevel="0" collapsed="false">
      <c r="A90" s="10" t="s">
        <v>50</v>
      </c>
      <c r="B90" s="10" t="s">
        <v>86</v>
      </c>
      <c r="C90" s="11" t="n">
        <v>4</v>
      </c>
      <c r="D90" s="11" t="n">
        <v>4</v>
      </c>
      <c r="E90" s="11" t="n">
        <v>0</v>
      </c>
      <c r="F90" s="11" t="n">
        <v>4</v>
      </c>
      <c r="G90" s="13" t="n">
        <v>8854040</v>
      </c>
    </row>
    <row r="91" customFormat="false" ht="15" hidden="false" customHeight="false" outlineLevel="0" collapsed="false">
      <c r="A91" s="10" t="s">
        <v>51</v>
      </c>
      <c r="B91" s="10" t="s">
        <v>86</v>
      </c>
      <c r="C91" s="11" t="n">
        <v>8</v>
      </c>
      <c r="D91" s="11" t="n">
        <v>7</v>
      </c>
      <c r="E91" s="11" t="n">
        <v>0</v>
      </c>
      <c r="F91" s="11" t="n">
        <v>8</v>
      </c>
      <c r="G91" s="13" t="n">
        <v>3689984</v>
      </c>
    </row>
    <row r="92" customFormat="false" ht="15" hidden="false" customHeight="false" outlineLevel="0" collapsed="false">
      <c r="A92" s="10" t="s">
        <v>46</v>
      </c>
      <c r="B92" s="10" t="s">
        <v>87</v>
      </c>
      <c r="C92" s="11" t="n">
        <v>13</v>
      </c>
      <c r="D92" s="11" t="n">
        <v>6</v>
      </c>
      <c r="E92" s="11" t="n">
        <v>0</v>
      </c>
      <c r="F92" s="11" t="n">
        <v>7</v>
      </c>
      <c r="G92" s="13" t="n">
        <v>2695138</v>
      </c>
    </row>
    <row r="93" customFormat="false" ht="15" hidden="false" customHeight="false" outlineLevel="0" collapsed="false">
      <c r="A93" s="10" t="s">
        <v>47</v>
      </c>
      <c r="B93" s="10" t="s">
        <v>87</v>
      </c>
      <c r="C93" s="11" t="n">
        <v>6</v>
      </c>
      <c r="D93" s="11" t="n">
        <v>4</v>
      </c>
      <c r="E93" s="11" t="n">
        <v>0</v>
      </c>
      <c r="F93" s="11" t="n">
        <v>5</v>
      </c>
      <c r="G93" s="13" t="n">
        <v>2371416</v>
      </c>
    </row>
    <row r="94" customFormat="false" ht="15" hidden="false" customHeight="false" outlineLevel="0" collapsed="false">
      <c r="A94" s="10" t="s">
        <v>48</v>
      </c>
      <c r="B94" s="10" t="s">
        <v>87</v>
      </c>
      <c r="C94" s="11" t="n">
        <v>7</v>
      </c>
      <c r="D94" s="11" t="n">
        <v>6</v>
      </c>
      <c r="E94" s="11" t="n">
        <v>0</v>
      </c>
      <c r="F94" s="11" t="n">
        <v>6</v>
      </c>
      <c r="G94" s="13" t="n">
        <v>3816404</v>
      </c>
    </row>
    <row r="95" customFormat="false" ht="15" hidden="false" customHeight="false" outlineLevel="0" collapsed="false">
      <c r="A95" s="10" t="s">
        <v>49</v>
      </c>
      <c r="B95" s="10" t="s">
        <v>87</v>
      </c>
      <c r="C95" s="11" t="n">
        <v>16</v>
      </c>
      <c r="D95" s="11" t="n">
        <v>10</v>
      </c>
      <c r="E95" s="11" t="n">
        <v>0</v>
      </c>
      <c r="F95" s="11" t="n">
        <v>15</v>
      </c>
      <c r="G95" s="13" t="n">
        <v>8129900</v>
      </c>
    </row>
    <row r="96" customFormat="false" ht="15" hidden="false" customHeight="false" outlineLevel="0" collapsed="false">
      <c r="A96" s="10" t="s">
        <v>50</v>
      </c>
      <c r="B96" s="10" t="s">
        <v>87</v>
      </c>
      <c r="C96" s="11" t="n">
        <v>36</v>
      </c>
      <c r="D96" s="11" t="n">
        <v>27</v>
      </c>
      <c r="E96" s="11" t="n">
        <v>0</v>
      </c>
      <c r="F96" s="11" t="n">
        <v>33</v>
      </c>
      <c r="G96" s="13" t="n">
        <v>20329243</v>
      </c>
    </row>
    <row r="97" customFormat="false" ht="15" hidden="false" customHeight="false" outlineLevel="0" collapsed="false">
      <c r="A97" s="10" t="s">
        <v>51</v>
      </c>
      <c r="B97" s="10" t="s">
        <v>87</v>
      </c>
      <c r="C97" s="11" t="n">
        <v>19</v>
      </c>
      <c r="D97" s="11" t="n">
        <v>9</v>
      </c>
      <c r="E97" s="11" t="n">
        <v>0</v>
      </c>
      <c r="F97" s="11" t="n">
        <v>14</v>
      </c>
      <c r="G97" s="13" t="n">
        <v>5462712</v>
      </c>
    </row>
    <row r="98" customFormat="false" ht="15" hidden="false" customHeight="false" outlineLevel="0" collapsed="false">
      <c r="A98" s="10" t="s">
        <v>46</v>
      </c>
      <c r="B98" s="10" t="s">
        <v>88</v>
      </c>
      <c r="C98" s="11" t="n">
        <v>73</v>
      </c>
      <c r="D98" s="11" t="n">
        <v>65</v>
      </c>
      <c r="E98" s="11" t="n">
        <v>0</v>
      </c>
      <c r="F98" s="11" t="n">
        <v>66</v>
      </c>
      <c r="G98" s="13" t="n">
        <v>47320639</v>
      </c>
    </row>
    <row r="99" customFormat="false" ht="15" hidden="false" customHeight="false" outlineLevel="0" collapsed="false">
      <c r="A99" s="10" t="s">
        <v>47</v>
      </c>
      <c r="B99" s="10" t="s">
        <v>88</v>
      </c>
      <c r="C99" s="11" t="n">
        <v>46</v>
      </c>
      <c r="D99" s="11" t="n">
        <v>36</v>
      </c>
      <c r="E99" s="11" t="n">
        <v>0</v>
      </c>
      <c r="F99" s="11" t="n">
        <v>38</v>
      </c>
      <c r="G99" s="13" t="n">
        <v>23443955</v>
      </c>
    </row>
    <row r="100" customFormat="false" ht="15" hidden="false" customHeight="false" outlineLevel="0" collapsed="false">
      <c r="A100" s="10" t="s">
        <v>48</v>
      </c>
      <c r="B100" s="10" t="s">
        <v>88</v>
      </c>
      <c r="C100" s="11" t="n">
        <v>22</v>
      </c>
      <c r="D100" s="11" t="n">
        <v>18</v>
      </c>
      <c r="E100" s="11" t="n">
        <v>0</v>
      </c>
      <c r="F100" s="11" t="n">
        <v>21</v>
      </c>
      <c r="G100" s="13" t="n">
        <v>12337891</v>
      </c>
    </row>
    <row r="101" customFormat="false" ht="15" hidden="false" customHeight="false" outlineLevel="0" collapsed="false">
      <c r="A101" s="10" t="s">
        <v>49</v>
      </c>
      <c r="B101" s="10" t="s">
        <v>88</v>
      </c>
      <c r="C101" s="11" t="n">
        <v>39</v>
      </c>
      <c r="D101" s="11" t="n">
        <v>21</v>
      </c>
      <c r="E101" s="11" t="n">
        <v>0</v>
      </c>
      <c r="F101" s="11" t="n">
        <v>24</v>
      </c>
      <c r="G101" s="13" t="n">
        <v>13060408</v>
      </c>
    </row>
    <row r="102" customFormat="false" ht="15" hidden="false" customHeight="false" outlineLevel="0" collapsed="false">
      <c r="A102" s="10" t="s">
        <v>50</v>
      </c>
      <c r="B102" s="10" t="s">
        <v>88</v>
      </c>
      <c r="C102" s="11" t="n">
        <v>27</v>
      </c>
      <c r="D102" s="11" t="n">
        <v>20</v>
      </c>
      <c r="E102" s="11" t="n">
        <v>0</v>
      </c>
      <c r="F102" s="11" t="n">
        <v>25</v>
      </c>
      <c r="G102" s="13" t="n">
        <v>11631339</v>
      </c>
    </row>
    <row r="103" customFormat="false" ht="15" hidden="false" customHeight="false" outlineLevel="0" collapsed="false">
      <c r="A103" s="10" t="s">
        <v>51</v>
      </c>
      <c r="B103" s="10" t="s">
        <v>88</v>
      </c>
      <c r="C103" s="11" t="n">
        <v>34</v>
      </c>
      <c r="D103" s="11" t="n">
        <v>23</v>
      </c>
      <c r="E103" s="11" t="n">
        <v>0</v>
      </c>
      <c r="F103" s="11" t="n">
        <v>28</v>
      </c>
      <c r="G103" s="13" t="n">
        <v>13478760</v>
      </c>
    </row>
    <row r="104" customFormat="false" ht="15" hidden="false" customHeight="false" outlineLevel="0" collapsed="false">
      <c r="A104" s="10" t="s">
        <v>46</v>
      </c>
      <c r="B104" s="10" t="s">
        <v>89</v>
      </c>
      <c r="C104" s="11" t="n">
        <v>41</v>
      </c>
      <c r="D104" s="11" t="n">
        <v>30</v>
      </c>
      <c r="E104" s="11" t="n">
        <v>0</v>
      </c>
      <c r="F104" s="11" t="n">
        <v>33</v>
      </c>
      <c r="G104" s="13" t="n">
        <v>21815000</v>
      </c>
    </row>
    <row r="105" customFormat="false" ht="15" hidden="false" customHeight="false" outlineLevel="0" collapsed="false">
      <c r="A105" s="10" t="s">
        <v>47</v>
      </c>
      <c r="B105" s="10" t="s">
        <v>89</v>
      </c>
      <c r="C105" s="11" t="n">
        <v>49</v>
      </c>
      <c r="D105" s="11" t="n">
        <v>32</v>
      </c>
      <c r="E105" s="11" t="n">
        <v>0</v>
      </c>
      <c r="F105" s="11" t="n">
        <v>40</v>
      </c>
      <c r="G105" s="13" t="n">
        <v>19050000</v>
      </c>
    </row>
    <row r="106" customFormat="false" ht="15" hidden="false" customHeight="false" outlineLevel="0" collapsed="false">
      <c r="A106" s="10" t="s">
        <v>48</v>
      </c>
      <c r="B106" s="10" t="s">
        <v>89</v>
      </c>
      <c r="C106" s="11" t="n">
        <v>49</v>
      </c>
      <c r="D106" s="11" t="n">
        <v>38</v>
      </c>
      <c r="E106" s="11" t="n">
        <v>0</v>
      </c>
      <c r="F106" s="11" t="n">
        <v>41</v>
      </c>
      <c r="G106" s="13" t="n">
        <v>20004000</v>
      </c>
    </row>
    <row r="107" customFormat="false" ht="15" hidden="false" customHeight="false" outlineLevel="0" collapsed="false">
      <c r="A107" s="10" t="s">
        <v>49</v>
      </c>
      <c r="B107" s="10" t="s">
        <v>89</v>
      </c>
      <c r="C107" s="11" t="n">
        <v>54</v>
      </c>
      <c r="D107" s="11" t="n">
        <v>37</v>
      </c>
      <c r="E107" s="11" t="n">
        <v>0</v>
      </c>
      <c r="F107" s="11" t="n">
        <v>43</v>
      </c>
      <c r="G107" s="13" t="n">
        <v>26060000</v>
      </c>
    </row>
    <row r="108" customFormat="false" ht="15" hidden="false" customHeight="false" outlineLevel="0" collapsed="false">
      <c r="A108" s="10" t="s">
        <v>50</v>
      </c>
      <c r="B108" s="10" t="s">
        <v>89</v>
      </c>
      <c r="C108" s="11" t="n">
        <v>23</v>
      </c>
      <c r="D108" s="11" t="n">
        <v>12</v>
      </c>
      <c r="E108" s="11" t="n">
        <v>0</v>
      </c>
      <c r="F108" s="11" t="n">
        <v>19</v>
      </c>
      <c r="G108" s="13" t="n">
        <v>9436000</v>
      </c>
    </row>
    <row r="109" customFormat="false" ht="15" hidden="false" customHeight="false" outlineLevel="0" collapsed="false">
      <c r="A109" s="10" t="s">
        <v>51</v>
      </c>
      <c r="B109" s="10" t="s">
        <v>89</v>
      </c>
      <c r="C109" s="11" t="n">
        <v>19</v>
      </c>
      <c r="D109" s="11" t="n">
        <v>7</v>
      </c>
      <c r="E109" s="11" t="n">
        <v>0</v>
      </c>
      <c r="F109" s="11" t="n">
        <v>15</v>
      </c>
      <c r="G109" s="13" t="n">
        <v>6154000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5"/>
    <col collapsed="false" customWidth="true" hidden="false" outlineLevel="0" max="11" min="11" style="0" width="50"/>
  </cols>
  <sheetData>
    <row r="1" customFormat="false" ht="27.7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9" t="s">
        <v>65</v>
      </c>
      <c r="B3" s="9" t="s">
        <v>91</v>
      </c>
      <c r="C3" s="9" t="s">
        <v>92</v>
      </c>
      <c r="D3" s="9" t="s">
        <v>93</v>
      </c>
      <c r="E3" s="9" t="s">
        <v>94</v>
      </c>
      <c r="F3" s="9" t="s">
        <v>95</v>
      </c>
      <c r="G3" s="9" t="s">
        <v>96</v>
      </c>
      <c r="H3" s="9" t="s">
        <v>97</v>
      </c>
      <c r="I3" s="9" t="s">
        <v>98</v>
      </c>
      <c r="J3" s="9" t="s">
        <v>99</v>
      </c>
      <c r="K3" s="9" t="s">
        <v>100</v>
      </c>
    </row>
    <row r="4" customFormat="false" ht="15" hidden="false" customHeight="false" outlineLevel="0" collapsed="false">
      <c r="A4" s="10" t="s">
        <v>72</v>
      </c>
      <c r="B4" s="10" t="s">
        <v>101</v>
      </c>
      <c r="C4" s="10" t="s">
        <v>102</v>
      </c>
      <c r="D4" s="10" t="s">
        <v>103</v>
      </c>
      <c r="E4" s="10" t="s">
        <v>104</v>
      </c>
      <c r="F4" s="10" t="s">
        <v>105</v>
      </c>
      <c r="G4" s="10" t="s">
        <v>106</v>
      </c>
      <c r="H4" s="10" t="s">
        <v>107</v>
      </c>
      <c r="I4" s="10" t="s">
        <v>108</v>
      </c>
      <c r="J4" s="10" t="s">
        <v>109</v>
      </c>
      <c r="K4" s="10" t="s">
        <v>110</v>
      </c>
    </row>
    <row r="5" customFormat="false" ht="23.85" hidden="false" customHeight="false" outlineLevel="0" collapsed="false">
      <c r="A5" s="10" t="s">
        <v>80</v>
      </c>
      <c r="B5" s="10" t="s">
        <v>111</v>
      </c>
      <c r="C5" s="10" t="s">
        <v>112</v>
      </c>
      <c r="D5" s="10" t="s">
        <v>103</v>
      </c>
      <c r="E5" s="10" t="s">
        <v>104</v>
      </c>
      <c r="F5" s="10" t="s">
        <v>113</v>
      </c>
      <c r="G5" s="10" t="s">
        <v>114</v>
      </c>
      <c r="H5" s="10" t="s">
        <v>115</v>
      </c>
      <c r="I5" s="10" t="s">
        <v>116</v>
      </c>
      <c r="J5" s="10" t="s">
        <v>117</v>
      </c>
      <c r="K5" s="10" t="s">
        <v>118</v>
      </c>
    </row>
    <row r="6" customFormat="false" ht="23.85" hidden="false" customHeight="false" outlineLevel="0" collapsed="false">
      <c r="A6" s="10" t="s">
        <v>80</v>
      </c>
      <c r="B6" s="10" t="s">
        <v>119</v>
      </c>
      <c r="C6" s="10" t="s">
        <v>120</v>
      </c>
      <c r="D6" s="10" t="s">
        <v>103</v>
      </c>
      <c r="E6" s="10" t="s">
        <v>104</v>
      </c>
      <c r="F6" s="10" t="s">
        <v>105</v>
      </c>
      <c r="G6" s="10" t="s">
        <v>121</v>
      </c>
      <c r="H6" s="10" t="s">
        <v>122</v>
      </c>
      <c r="I6" s="10" t="s">
        <v>116</v>
      </c>
      <c r="J6" s="10" t="s">
        <v>123</v>
      </c>
      <c r="K6" s="10" t="s">
        <v>124</v>
      </c>
    </row>
    <row r="7" customFormat="false" ht="23.85" hidden="false" customHeight="false" outlineLevel="0" collapsed="false">
      <c r="A7" s="10" t="s">
        <v>81</v>
      </c>
      <c r="B7" s="10" t="s">
        <v>125</v>
      </c>
      <c r="C7" s="10" t="s">
        <v>126</v>
      </c>
      <c r="D7" s="10" t="s">
        <v>103</v>
      </c>
      <c r="E7" s="10" t="s">
        <v>104</v>
      </c>
      <c r="F7" s="10" t="s">
        <v>105</v>
      </c>
      <c r="G7" s="10" t="s">
        <v>127</v>
      </c>
      <c r="H7" s="10" t="s">
        <v>128</v>
      </c>
      <c r="I7" s="10" t="s">
        <v>129</v>
      </c>
      <c r="J7" s="10" t="s">
        <v>130</v>
      </c>
      <c r="K7" s="10" t="s">
        <v>131</v>
      </c>
    </row>
    <row r="9" customFormat="false" ht="15" hidden="false" customHeight="false" outlineLevel="0" collapsed="false">
      <c r="A9" s="20" t="s">
        <v>132</v>
      </c>
      <c r="B9" s="20"/>
      <c r="C9" s="20"/>
      <c r="D9" s="20"/>
      <c r="E9" s="20"/>
      <c r="F9" s="20"/>
      <c r="G9" s="20"/>
      <c r="H9" s="20"/>
      <c r="I9" s="20"/>
      <c r="J9" s="20"/>
      <c r="K9" s="20"/>
    </row>
  </sheetData>
  <mergeCells count="2">
    <mergeCell ref="A1:K1"/>
    <mergeCell ref="A9:K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8" min="6" style="0" width="18"/>
    <col collapsed="false" customWidth="true" hidden="false" outlineLevel="0" max="9" min="9" style="0" width="60"/>
  </cols>
  <sheetData>
    <row r="1" customFormat="false" ht="27.7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  <c r="I1" s="1"/>
    </row>
    <row r="3" customFormat="false" ht="23.85" hidden="false" customHeight="false" outlineLevel="0" collapsed="false">
      <c r="A3" s="9" t="s">
        <v>134</v>
      </c>
      <c r="B3" s="9" t="s">
        <v>135</v>
      </c>
      <c r="C3" s="9" t="s">
        <v>136</v>
      </c>
      <c r="D3" s="9" t="s">
        <v>137</v>
      </c>
      <c r="E3" s="9" t="s">
        <v>138</v>
      </c>
      <c r="F3" s="9" t="s">
        <v>139</v>
      </c>
      <c r="G3" s="9" t="s">
        <v>140</v>
      </c>
      <c r="H3" s="9" t="s">
        <v>141</v>
      </c>
      <c r="I3" s="9" t="s">
        <v>142</v>
      </c>
    </row>
    <row r="4" customFormat="false" ht="39.75" hidden="false" customHeight="true" outlineLevel="0" collapsed="false">
      <c r="A4" s="10" t="s">
        <v>79</v>
      </c>
      <c r="B4" s="10" t="s">
        <v>46</v>
      </c>
      <c r="C4" s="10" t="s">
        <v>143</v>
      </c>
      <c r="D4" s="10" t="s">
        <v>144</v>
      </c>
      <c r="E4" s="10" t="s">
        <v>145</v>
      </c>
      <c r="F4" s="13" t="n">
        <v>60493973</v>
      </c>
      <c r="G4" s="13" t="n">
        <v>39119998</v>
      </c>
      <c r="H4" s="21" t="n">
        <f aca="false">F4-G4</f>
        <v>21373975</v>
      </c>
      <c r="I4" s="22" t="s">
        <v>146</v>
      </c>
    </row>
    <row r="5" customFormat="false" ht="39.75" hidden="false" customHeight="true" outlineLevel="0" collapsed="false">
      <c r="A5" s="10" t="s">
        <v>79</v>
      </c>
      <c r="B5" s="10" t="s">
        <v>47</v>
      </c>
      <c r="C5" s="10" t="s">
        <v>147</v>
      </c>
      <c r="D5" s="10" t="s">
        <v>148</v>
      </c>
      <c r="E5" s="10" t="s">
        <v>148</v>
      </c>
      <c r="F5" s="13" t="n">
        <v>0</v>
      </c>
      <c r="G5" s="13" t="n">
        <v>67476150</v>
      </c>
      <c r="H5" s="21" t="n">
        <f aca="false">F5-G5</f>
        <v>-67476150</v>
      </c>
      <c r="I5" s="22" t="s">
        <v>149</v>
      </c>
    </row>
    <row r="6" customFormat="false" ht="39.75" hidden="false" customHeight="true" outlineLevel="0" collapsed="false">
      <c r="A6" s="10" t="s">
        <v>79</v>
      </c>
      <c r="B6" s="10" t="s">
        <v>48</v>
      </c>
      <c r="C6" s="10" t="s">
        <v>150</v>
      </c>
      <c r="D6" s="10" t="s">
        <v>144</v>
      </c>
      <c r="E6" s="10" t="s">
        <v>151</v>
      </c>
      <c r="F6" s="13" t="n">
        <v>73783867</v>
      </c>
      <c r="G6" s="13" t="n">
        <v>73783867</v>
      </c>
      <c r="H6" s="21" t="n">
        <f aca="false">F6-G6</f>
        <v>0</v>
      </c>
      <c r="I6" s="22" t="s">
        <v>152</v>
      </c>
    </row>
    <row r="7" customFormat="false" ht="39.75" hidden="false" customHeight="true" outlineLevel="0" collapsed="false">
      <c r="A7" s="10" t="s">
        <v>79</v>
      </c>
      <c r="B7" s="10" t="s">
        <v>49</v>
      </c>
      <c r="C7" s="10" t="s">
        <v>153</v>
      </c>
      <c r="D7" s="10" t="s">
        <v>144</v>
      </c>
      <c r="E7" s="10" t="s">
        <v>154</v>
      </c>
      <c r="F7" s="13" t="n">
        <v>171962273</v>
      </c>
      <c r="G7" s="13" t="n">
        <v>171962273</v>
      </c>
      <c r="H7" s="21" t="n">
        <f aca="false">F7-G7</f>
        <v>0</v>
      </c>
      <c r="I7" s="22" t="s">
        <v>155</v>
      </c>
    </row>
    <row r="8" customFormat="false" ht="39.75" hidden="false" customHeight="true" outlineLevel="0" collapsed="false">
      <c r="A8" s="10" t="s">
        <v>79</v>
      </c>
      <c r="B8" s="10" t="s">
        <v>50</v>
      </c>
      <c r="C8" s="10" t="s">
        <v>156</v>
      </c>
      <c r="D8" s="10" t="s">
        <v>144</v>
      </c>
      <c r="E8" s="10" t="s">
        <v>157</v>
      </c>
      <c r="F8" s="13" t="n">
        <v>45200608</v>
      </c>
      <c r="G8" s="13" t="n">
        <v>45200608</v>
      </c>
      <c r="H8" s="21" t="n">
        <f aca="false">F8-G8</f>
        <v>0</v>
      </c>
      <c r="I8" s="22" t="s">
        <v>158</v>
      </c>
    </row>
    <row r="9" customFormat="false" ht="39.75" hidden="false" customHeight="true" outlineLevel="0" collapsed="false">
      <c r="A9" s="10" t="s">
        <v>79</v>
      </c>
      <c r="B9" s="10" t="s">
        <v>51</v>
      </c>
      <c r="C9" s="10" t="s">
        <v>159</v>
      </c>
      <c r="D9" s="10" t="s">
        <v>144</v>
      </c>
      <c r="E9" s="10" t="s">
        <v>160</v>
      </c>
      <c r="F9" s="13" t="n">
        <v>68004425</v>
      </c>
      <c r="G9" s="13" t="n">
        <v>65255037</v>
      </c>
      <c r="H9" s="21" t="n">
        <f aca="false">F9-G9</f>
        <v>2749388</v>
      </c>
      <c r="I9" s="22" t="s">
        <v>161</v>
      </c>
    </row>
    <row r="10" customFormat="false" ht="39.75" hidden="false" customHeight="true" outlineLevel="0" collapsed="false">
      <c r="A10" s="10" t="s">
        <v>72</v>
      </c>
      <c r="B10" s="10" t="s">
        <v>46</v>
      </c>
      <c r="C10" s="10" t="s">
        <v>162</v>
      </c>
      <c r="D10" s="10" t="s">
        <v>163</v>
      </c>
      <c r="E10" s="10" t="s">
        <v>145</v>
      </c>
      <c r="F10" s="13" t="n">
        <v>32865521</v>
      </c>
      <c r="G10" s="13" t="n">
        <v>25084385</v>
      </c>
      <c r="H10" s="21" t="n">
        <f aca="false">F10-G10</f>
        <v>7781136</v>
      </c>
      <c r="I10" s="22" t="s">
        <v>164</v>
      </c>
    </row>
  </sheetData>
  <mergeCells count="1">
    <mergeCell ref="A1:I1"/>
  </mergeCells>
  <conditionalFormatting sqref="H4:H10">
    <cfRule type="cellIs" priority="2" operator="equal" aboveAverage="0" equalAverage="0" bottom="0" percent="0" rank="0" text="" dxfId="0">
      <formula>0</formula>
    </cfRule>
    <cfRule type="cellIs" priority="3" operator="not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1" t="s">
        <v>165</v>
      </c>
      <c r="B1" s="1"/>
      <c r="C1" s="1"/>
      <c r="D1" s="1"/>
    </row>
    <row r="3" customFormat="false" ht="15" hidden="false" customHeight="false" outlineLevel="0" collapsed="false">
      <c r="A3" s="9" t="s">
        <v>166</v>
      </c>
      <c r="B3" s="9" t="s">
        <v>167</v>
      </c>
      <c r="C3" s="9" t="s">
        <v>168</v>
      </c>
      <c r="D3" s="9" t="s">
        <v>169</v>
      </c>
    </row>
    <row r="4" customFormat="false" ht="34.5" hidden="false" customHeight="true" outlineLevel="0" collapsed="false">
      <c r="A4" s="23" t="s">
        <v>170</v>
      </c>
      <c r="B4" s="10" t="s">
        <v>171</v>
      </c>
      <c r="C4" s="22" t="s">
        <v>172</v>
      </c>
      <c r="D4" s="22" t="s">
        <v>173</v>
      </c>
    </row>
    <row r="5" customFormat="false" ht="34.5" hidden="false" customHeight="true" outlineLevel="0" collapsed="false">
      <c r="A5" s="23" t="s">
        <v>170</v>
      </c>
      <c r="B5" s="10" t="s">
        <v>174</v>
      </c>
      <c r="C5" s="22" t="s">
        <v>175</v>
      </c>
      <c r="D5" s="22" t="s">
        <v>176</v>
      </c>
    </row>
    <row r="6" customFormat="false" ht="34.5" hidden="false" customHeight="true" outlineLevel="0" collapsed="false">
      <c r="A6" s="23" t="s">
        <v>170</v>
      </c>
      <c r="B6" s="10" t="s">
        <v>177</v>
      </c>
      <c r="C6" s="22" t="s">
        <v>178</v>
      </c>
      <c r="D6" s="22" t="s">
        <v>179</v>
      </c>
    </row>
    <row r="7" customFormat="false" ht="34.5" hidden="false" customHeight="true" outlineLevel="0" collapsed="false">
      <c r="A7" s="24" t="s">
        <v>180</v>
      </c>
      <c r="B7" s="10" t="s">
        <v>181</v>
      </c>
      <c r="C7" s="22" t="s">
        <v>182</v>
      </c>
      <c r="D7" s="22" t="s">
        <v>183</v>
      </c>
    </row>
    <row r="8" customFormat="false" ht="34.5" hidden="false" customHeight="true" outlineLevel="0" collapsed="false">
      <c r="A8" s="24" t="s">
        <v>180</v>
      </c>
      <c r="B8" s="10" t="s">
        <v>177</v>
      </c>
      <c r="C8" s="22" t="s">
        <v>184</v>
      </c>
      <c r="D8" s="22" t="s">
        <v>185</v>
      </c>
    </row>
    <row r="9" customFormat="false" ht="34.5" hidden="false" customHeight="true" outlineLevel="0" collapsed="false">
      <c r="A9" s="24" t="s">
        <v>180</v>
      </c>
      <c r="B9" s="10" t="s">
        <v>186</v>
      </c>
      <c r="C9" s="22" t="s">
        <v>187</v>
      </c>
      <c r="D9" s="22" t="s">
        <v>188</v>
      </c>
    </row>
    <row r="10" customFormat="false" ht="34.5" hidden="false" customHeight="true" outlineLevel="0" collapsed="false">
      <c r="A10" s="25" t="s">
        <v>189</v>
      </c>
      <c r="B10" s="10" t="s">
        <v>190</v>
      </c>
      <c r="C10" s="22" t="s">
        <v>191</v>
      </c>
      <c r="D10" s="22" t="s">
        <v>192</v>
      </c>
    </row>
    <row r="11" customFormat="false" ht="34.5" hidden="false" customHeight="true" outlineLevel="0" collapsed="false">
      <c r="A11" s="25" t="s">
        <v>189</v>
      </c>
      <c r="B11" s="10" t="s">
        <v>193</v>
      </c>
      <c r="C11" s="22" t="s">
        <v>194</v>
      </c>
      <c r="D11" s="22" t="s">
        <v>195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2026-05-06T00:12:00Z</dcterms:created>
  <dc:creator>openpyxl</dc:creator>
  <dc:description/>
  <dc:language>en-US</dc:language>
  <cp:lastModifiedBy/>
  <dcterms:modified xsi:type="dcterms:W3CDTF">2026-05-06T00:12:00Z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